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088B49B7-DE26-44B7-BC9C-1D730A8A0C7D}" xr6:coauthVersionLast="47" xr6:coauthVersionMax="47" xr10:uidLastSave="{00000000-0000-0000-0000-000000000000}"/>
  <bookViews>
    <workbookView xWindow="27500" yWindow="90" windowWidth="23790" windowHeight="20880" activeTab="1" xr2:uid="{5A776337-3422-4D74-8A6D-083A6A5D82DC}"/>
  </bookViews>
  <sheets>
    <sheet name="Ontology" sheetId="1" r:id="rId1"/>
    <sheet name="Statu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18" i="2" l="1"/>
  <c r="M111" i="2"/>
  <c r="M104" i="2"/>
  <c r="M101" i="2"/>
  <c r="M95" i="2"/>
  <c r="M84" i="2"/>
  <c r="M81" i="2"/>
  <c r="M76" i="2"/>
  <c r="M73" i="2"/>
  <c r="M63" i="2"/>
  <c r="M60" i="2"/>
  <c r="M57" i="2"/>
  <c r="M48" i="2"/>
  <c r="M43" i="2"/>
  <c r="M41" i="2"/>
  <c r="M36" i="2"/>
  <c r="M28" i="2"/>
  <c r="M25" i="2"/>
  <c r="M24" i="2"/>
  <c r="M18" i="2"/>
  <c r="M15" i="2"/>
  <c r="M11" i="2"/>
  <c r="M8" i="2"/>
  <c r="M2" i="2"/>
</calcChain>
</file>

<file path=xl/sharedStrings.xml><?xml version="1.0" encoding="utf-8"?>
<sst xmlns="http://schemas.openxmlformats.org/spreadsheetml/2006/main" count="773" uniqueCount="531">
  <si>
    <t>Category</t>
    <phoneticPr fontId="3" type="noConversion"/>
  </si>
  <si>
    <t>Sub-Category</t>
    <phoneticPr fontId="3" type="noConversion"/>
  </si>
  <si>
    <t xml:space="preserve">(Binary) Attribute Label </t>
    <phoneticPr fontId="3" type="noConversion"/>
  </si>
  <si>
    <t>1) View</t>
    <phoneticPr fontId="3" type="noConversion"/>
  </si>
  <si>
    <t>1) Visibility</t>
    <phoneticPr fontId="3" type="noConversion"/>
  </si>
  <si>
    <t>MultiPersonAmbiguity</t>
    <phoneticPr fontId="3" type="noConversion"/>
  </si>
  <si>
    <t>True if multiple people are present and any could be the target (close together, overlapping, similar size). False if one clear main person is present and others are small, distant, or non-overlapping.</t>
    <phoneticPr fontId="3" type="noConversion"/>
  </si>
  <si>
    <t>FullyVisible</t>
    <phoneticPr fontId="3" type="noConversion"/>
  </si>
  <si>
    <t>True if the main person is fully or nearly fully visible so all core attributes (head, upper body, lower body, feet) can be observed. When True, all InvisiblePart fields must be False.</t>
  </si>
  <si>
    <t>PartiallyVisible</t>
    <phoneticPr fontId="3" type="noConversion"/>
  </si>
  <si>
    <t>True if partially visible but not fully — some attributes may be obscured but the person is still recognizable. When any body part is invisible, set FullyVisible=False and PartiallyVisible=True.</t>
  </si>
  <si>
    <t>InvisiblePart-Head</t>
    <phoneticPr fontId="3" type="noConversion"/>
  </si>
  <si>
    <t>InvisiblePart-UpperBody</t>
    <phoneticPr fontId="3" type="noConversion"/>
  </si>
  <si>
    <t>True when the upper body is &gt;half obscured, preventing reliable inference of clothing type, sleeve, pattern, or color.</t>
  </si>
  <si>
    <t>True when the lower body is &gt;half obscured, preventing reliable inference of clothing type, length, pattern, or color.</t>
  </si>
  <si>
    <t>InvisiblePart-Feet</t>
    <phoneticPr fontId="3" type="noConversion"/>
  </si>
  <si>
    <t>True when both feet are completely not visible (occluded, cropped, or obscured). False if at least one foot is fully visible.</t>
  </si>
  <si>
    <t>Face-Recognizable</t>
    <phoneticPr fontId="3" type="noConversion"/>
  </si>
  <si>
    <t>True if the face is clear enough for recognition by human eyes (eyes, nose, mouth distinguishable). False if turned away, occluded, blurred, or too small.</t>
  </si>
  <si>
    <t>2) BodyView</t>
    <phoneticPr fontId="3" type="noConversion"/>
  </si>
  <si>
    <t>BodyView-Back</t>
    <phoneticPr fontId="3" type="noConversion"/>
  </si>
  <si>
    <t>True if the person's back is primarily facing the camera, showing the rear side of the body.</t>
  </si>
  <si>
    <t>BodyView-Front</t>
    <phoneticPr fontId="3" type="noConversion"/>
  </si>
  <si>
    <t xml:space="preserve">True if the person's front is primarily facing the camera, showing the face and chest area. </t>
  </si>
  <si>
    <t>BodyView-Side</t>
    <phoneticPr fontId="3" type="noConversion"/>
  </si>
  <si>
    <t>True if the persons is sideways to the camera (profile view).</t>
  </si>
  <si>
    <t>2) Biometric</t>
    <phoneticPr fontId="3" type="noConversion"/>
  </si>
  <si>
    <t>3) Age</t>
    <phoneticPr fontId="3" type="noConversion"/>
  </si>
  <si>
    <t>Age-Minor</t>
    <phoneticPr fontId="3" type="noConversion"/>
  </si>
  <si>
    <t>Age-Adult</t>
    <phoneticPr fontId="3" type="noConversion"/>
  </si>
  <si>
    <t>Default category for individuals not clearly minor or old — working-age adults without obvious signs of youth or old age.</t>
  </si>
  <si>
    <t>Age-Old</t>
    <phoneticPr fontId="3" type="noConversion"/>
  </si>
  <si>
    <t>4) Gender</t>
    <phoneticPr fontId="3" type="noConversion"/>
  </si>
  <si>
    <t>Gender-Female</t>
    <phoneticPr fontId="3" type="noConversion"/>
  </si>
  <si>
    <t>Gender-Male</t>
    <phoneticPr fontId="3" type="noConversion"/>
  </si>
  <si>
    <t xml:space="preserve">Male based on visible cues (body shape, clothing, hair, overall appearance). </t>
    <phoneticPr fontId="3" type="noConversion"/>
  </si>
  <si>
    <t>5) Height</t>
    <phoneticPr fontId="3" type="noConversion"/>
  </si>
  <si>
    <t>Height-Short</t>
    <phoneticPr fontId="3" type="noConversion"/>
  </si>
  <si>
    <t>Height-Average</t>
    <phoneticPr fontId="3" type="noConversion"/>
  </si>
  <si>
    <t>Height-Tall</t>
    <phoneticPr fontId="3" type="noConversion"/>
  </si>
  <si>
    <t>6) Weight/BodyShape</t>
    <phoneticPr fontId="3" type="noConversion"/>
  </si>
  <si>
    <t>Weight-Underweight</t>
    <phoneticPr fontId="3" type="noConversion"/>
  </si>
  <si>
    <t>Weight-Average</t>
    <phoneticPr fontId="3" type="noConversion"/>
  </si>
  <si>
    <t>Weight-Overweight</t>
    <phoneticPr fontId="3" type="noConversion"/>
  </si>
  <si>
    <t>BodyPosture-Stooped</t>
    <phoneticPr fontId="3" type="noConversion"/>
  </si>
  <si>
    <t>Hunched or forward-bending posture, regardless of build. Often associated with elderly but applies to any age. Independent of weight.</t>
  </si>
  <si>
    <t>3) Head/Hair</t>
    <phoneticPr fontId="3" type="noConversion"/>
  </si>
  <si>
    <t>7) HairLength</t>
    <phoneticPr fontId="3" type="noConversion"/>
  </si>
  <si>
    <t>HairLength-Bald</t>
    <phoneticPr fontId="3" type="noConversion"/>
  </si>
  <si>
    <t>True if the person has no visible hair or a shaved/partially bald head. Set all hair length fields to False if hair cannot be observed due to headwear fully covering the head (hat, helmet, hood, hijab, etc.) or if the head is not visible.</t>
    <phoneticPr fontId="3" type="noConversion"/>
  </si>
  <si>
    <t>HairLength-Short</t>
    <phoneticPr fontId="3" type="noConversion"/>
  </si>
  <si>
    <t>HairLength-Medium</t>
    <phoneticPr fontId="3" type="noConversion"/>
  </si>
  <si>
    <t>HairLength-Long</t>
    <phoneticPr fontId="3" type="noConversion"/>
  </si>
  <si>
    <t>8) HairStyle</t>
    <phoneticPr fontId="3" type="noConversion"/>
  </si>
  <si>
    <t>HairStyle-Ponytail</t>
    <phoneticPr fontId="3" type="noConversion"/>
  </si>
  <si>
    <t>9) HeadColor</t>
    <phoneticPr fontId="3" type="noConversion"/>
  </si>
  <si>
    <t>HeadColor-Black</t>
    <phoneticPr fontId="3" type="noConversion"/>
  </si>
  <si>
    <t>True if the hair is black or the worn headwear (hat, helmet, or head cover) is dominantly black.</t>
  </si>
  <si>
    <t>HeadColor-Blue</t>
    <phoneticPr fontId="3" type="noConversion"/>
  </si>
  <si>
    <t>True if the hair is blue or the worn headwear (hat, helmet, or head cover) is dominantly blue.</t>
  </si>
  <si>
    <t>HeadColor-Brown</t>
    <phoneticPr fontId="3" type="noConversion"/>
  </si>
  <si>
    <t>HeadColor-Green</t>
    <phoneticPr fontId="3" type="noConversion"/>
  </si>
  <si>
    <t>True if the hair is green or the worn headwear (hat, helmet, or head cover) is dominantly green.</t>
  </si>
  <si>
    <t>HeadColor-Grey</t>
    <phoneticPr fontId="3" type="noConversion"/>
  </si>
  <si>
    <t>True if the hair is grey/silver (salt and pepper) or the worn headwear (hat, helmet, or head cover) is dominantly grey. Often associated with elderly individuals.</t>
  </si>
  <si>
    <t>HeadColor-Orange</t>
    <phoneticPr fontId="3" type="noConversion"/>
  </si>
  <si>
    <t>True if the hair is orange or the worn headwear (hat, helmet, or head cover) is dominantly orange.</t>
    <phoneticPr fontId="3" type="noConversion"/>
  </si>
  <si>
    <t>HeadColor-Red</t>
    <phoneticPr fontId="3" type="noConversion"/>
  </si>
  <si>
    <t>True if the hair is red or the worn headwear (hat, helmet, or head cover) is dominantly red.</t>
  </si>
  <si>
    <t>HeadColor-White</t>
    <phoneticPr fontId="3" type="noConversion"/>
  </si>
  <si>
    <t>True if the hair is white or the worn headwear (hat, helmet, or head cover) is dominantly white. Often associated with elderly individuals.</t>
  </si>
  <si>
    <t>HeadColor-Yellow</t>
    <phoneticPr fontId="3" type="noConversion"/>
  </si>
  <si>
    <t>True if the hair is yellow/blonde or the worn headwear (hat, helmet, or head cover) is dominantly yellow.</t>
  </si>
  <si>
    <t>4) UpperCloth</t>
    <phoneticPr fontId="3" type="noConversion"/>
  </si>
  <si>
    <t>10) UpperClothType</t>
    <phoneticPr fontId="3" type="noConversion"/>
  </si>
  <si>
    <t xml:space="preserve">Upper-Type-Tshirt </t>
    <phoneticPr fontId="3" type="noConversion"/>
  </si>
  <si>
    <t>True for casual tops, including short-sleeved t-shirts, long-sleeved casual tops, tank tops, sleeveless tops, and casual polo shirts with collars. These are less structured and more informal than shirts. Layering Rule: Multiple types can be True if layered garments are fully and independently visible (e.g., open cardigan over a t-shirt). Otherwise, annotate only the outermost clearly visible upper garment.</t>
  </si>
  <si>
    <t>Upper-Type-Shirt</t>
    <phoneticPr fontId="3" type="noConversion"/>
  </si>
  <si>
    <t>True for dress shirts, blouses, uniform-style collared shirts, and other tops that are more structured/formal than casual t-shirts. Includes button-up shirts and formal collared tops.</t>
  </si>
  <si>
    <t>Upper-Type-Sweater</t>
    <phoneticPr fontId="3" type="noConversion"/>
  </si>
  <si>
    <t>True for thick, soft-looking knitted garments, pullover-style hoodies, sweatshirts, cardigans, and casual knitted vests. Characterized by knitted or fleece-like material.</t>
  </si>
  <si>
    <t>Upper-Type-Jacket</t>
    <phoneticPr fontId="3" type="noConversion"/>
  </si>
  <si>
    <t>True for casual outerwear extending to waist/hips, including windbreakers, hooded/zip-up jackets, jumpers/bombers, denim/leather jackets, and structured vests. Shorter than longcoats and less formal than blazers.</t>
  </si>
  <si>
    <t>Upper-Type-Blazer</t>
    <phoneticPr fontId="3" type="noConversion"/>
  </si>
  <si>
    <t>True for structured formalwear such as suit jackets, semi-formal waistcoats, business blazers, and sports coats. These garments are typically tailored with structured shoulders and lapels.</t>
  </si>
  <si>
    <t>Upper-Type-LongCoat</t>
    <phoneticPr fontId="3" type="noConversion"/>
  </si>
  <si>
    <t>True for long outer garments extending below the hips, often worn for warmth or style regardless of season. Includes trench coats, overcoats, duffle coats, and similar long outerwear.</t>
  </si>
  <si>
    <t>Upper-Type-Dress</t>
    <phoneticPr fontId="3" type="noConversion"/>
  </si>
  <si>
    <t>True for one-piece garments covering the body and extending down over the legs, typically worn by women or girls. When a dress is present, also set Lower-Type-Skirt to True (consistency rule).</t>
  </si>
  <si>
    <t>11) UpperClothSleeve</t>
    <phoneticPr fontId="3" type="noConversion"/>
  </si>
  <si>
    <t>Upper-Sleeve-Sleeveless</t>
    <phoneticPr fontId="3" type="noConversion"/>
  </si>
  <si>
    <t>True if the upper garment has no sleeves (e.g., tank tops, sleeveless tops, vests). Set all sleeve fields to False if sleeve length cannot be determined due to occlusion or image quality.</t>
  </si>
  <si>
    <t>Upper-Sleeve-Short</t>
    <phoneticPr fontId="3" type="noConversion"/>
  </si>
  <si>
    <t>Upper-Sleeve-Long</t>
    <phoneticPr fontId="3" type="noConversion"/>
  </si>
  <si>
    <t>12) UpperClothPattern</t>
    <phoneticPr fontId="3" type="noConversion"/>
  </si>
  <si>
    <t>Upper-Pattern-Solid</t>
    <phoneticPr fontId="3" type="noConversion"/>
  </si>
  <si>
    <t>Upper-Pattern-Logo</t>
    <phoneticPr fontId="3" type="noConversion"/>
  </si>
  <si>
    <t>Upper-Pattern-Plaid</t>
    <phoneticPr fontId="3" type="noConversion"/>
  </si>
  <si>
    <t>True for plaid or checkered patterns on the upper garment.</t>
  </si>
  <si>
    <t>Upper-Pattern-Stripe</t>
    <phoneticPr fontId="3" type="noConversion"/>
  </si>
  <si>
    <t>True for repeated horizontal, vertical, or diagonal stripes on the upper garment.</t>
  </si>
  <si>
    <t>Upper-Pattern-Splice</t>
    <phoneticPr fontId="3" type="noConversion"/>
  </si>
  <si>
    <t>True for color-blocking or panel designs where distinct colors or fabric sections are sewn together to create geometric divisions on the upper garment.</t>
  </si>
  <si>
    <t>Upper-Pattern-Abstract</t>
    <phoneticPr fontId="3" type="noConversion"/>
  </si>
  <si>
    <t>True for decorative or repeated abstract prints such as floral, polka dots, camouflage, or geometric patterns that are not covered by logo, plaid, stripe, or splice categories.</t>
  </si>
  <si>
    <t>13) UpperClothColor</t>
    <phoneticPr fontId="3" type="noConversion"/>
  </si>
  <si>
    <t>Upper-Color-Black</t>
    <phoneticPr fontId="3" type="noConversion"/>
  </si>
  <si>
    <t>True if the upper garment is black or predominantly black.</t>
  </si>
  <si>
    <t>Upper-Color-Blue</t>
    <phoneticPr fontId="3" type="noConversion"/>
  </si>
  <si>
    <t>True if the upper garment is blue or predominantly blue.</t>
  </si>
  <si>
    <t>Upper-Color-Brown</t>
    <phoneticPr fontId="3" type="noConversion"/>
  </si>
  <si>
    <t>True if the upper garment is brown or predominantly brown.</t>
  </si>
  <si>
    <t>Upper-Color-Green</t>
    <phoneticPr fontId="3" type="noConversion"/>
  </si>
  <si>
    <t>True if the upper garment is green or predominantly green.</t>
  </si>
  <si>
    <t>Upper-Color-Grey</t>
    <phoneticPr fontId="3" type="noConversion"/>
  </si>
  <si>
    <t>True if the upper garment is grey or predominantly grey.</t>
  </si>
  <si>
    <t>Upper-Color-Orange</t>
    <phoneticPr fontId="3" type="noConversion"/>
  </si>
  <si>
    <t>True if the upper garment is orange or predominantly orange.</t>
  </si>
  <si>
    <t>Upper-Color-Pink</t>
    <phoneticPr fontId="3" type="noConversion"/>
  </si>
  <si>
    <t>True if the upper garment is pink or predominantly pink.</t>
  </si>
  <si>
    <t>Upper-Color-Purple</t>
    <phoneticPr fontId="3" type="noConversion"/>
  </si>
  <si>
    <t>True if the upper garment is purple or predominantly purple.</t>
  </si>
  <si>
    <t>Upper-Color-Red</t>
    <phoneticPr fontId="3" type="noConversion"/>
  </si>
  <si>
    <t>True if the upper garment is red or predominantly red.</t>
  </si>
  <si>
    <t>Upper-Color-White</t>
    <phoneticPr fontId="3" type="noConversion"/>
  </si>
  <si>
    <t>True if the upper garment is white or predominantly white.</t>
  </si>
  <si>
    <t>Upper-Color-Yellow</t>
    <phoneticPr fontId="3" type="noConversion"/>
  </si>
  <si>
    <t>True if the upper garment is yellow or predominantly yellow.</t>
  </si>
  <si>
    <t>5) LowerCloth</t>
    <phoneticPr fontId="3" type="noConversion"/>
  </si>
  <si>
    <t>14) LowerClothType</t>
    <phoneticPr fontId="3" type="noConversion"/>
  </si>
  <si>
    <t>Lower-Type-Pants</t>
    <phoneticPr fontId="3" type="noConversion"/>
  </si>
  <si>
    <t>True for any bifurcated garment covering the legs that is not skin-tight (i.e., not leggings), encompassing all lengths from shorts to full-length trousers. Includes jeans, cargo pants, sweatpants, dress pants, etc.</t>
  </si>
  <si>
    <t>Lower-Type-Skirt</t>
    <phoneticPr fontId="3" type="noConversion"/>
  </si>
  <si>
    <t>True for any skirt, including mini, midi, and maxi skirts. Also True when the person is wearing a dress (consistency with Upper-Type-Dress).</t>
  </si>
  <si>
    <t>15) LowerClothLegwear</t>
    <phoneticPr fontId="3" type="noConversion"/>
  </si>
  <si>
    <t>Lower-Legwear-Tights</t>
    <phoneticPr fontId="3" type="noConversion"/>
  </si>
  <si>
    <t>True for skin-tight legwear such as leggings, tights, or stockings that closely fit the legs. Usually worn for warmth or fashion with skirts and pants. False if not visible or not applicable.</t>
  </si>
  <si>
    <t>Lower-Length-Short</t>
    <phoneticPr fontId="3" type="noConversion"/>
  </si>
  <si>
    <t>True only if the lower garment clearly ends above or near the knee (e.g., shorts, mini skirts). Set all length fields to False if length cannot be confidently determined due to occlusion, image cropping, seated posture, or image quality.</t>
  </si>
  <si>
    <t>Lower-Length-MidCalf</t>
    <phoneticPr fontId="3" type="noConversion"/>
  </si>
  <si>
    <t>True only if the lower garment clearly ends around the mid-calf. Includes capri pants, culottes, cropped trousers, ballerina skirts, and midi-length skirts. Set all length fields to False if length cannot be confidently determined.</t>
  </si>
  <si>
    <t>Lower-Length-Full</t>
    <phoneticPr fontId="3" type="noConversion"/>
  </si>
  <si>
    <t>True only if the lower garment ends from below the mid-calf to full length (reaching the ankle, top of shoes, or floor). Includes regular trousers, very long skirts, and maxi dresses. Set all length fields to False if length cannot be confidently determined.</t>
  </si>
  <si>
    <t>17) LowerClothPattern</t>
    <phoneticPr fontId="3" type="noConversion"/>
  </si>
  <si>
    <t>Lower-Pattern-Solid</t>
    <phoneticPr fontId="3" type="noConversion"/>
  </si>
  <si>
    <t>True if the lower garment appears as a single, uniform color with no visible patterns, prints, or decorative elements. Set all pattern fields to False if the pattern cannot be determined due to occlusion, image quality, or lighting.</t>
  </si>
  <si>
    <t>Lower-Pattern-Plaid</t>
    <phoneticPr fontId="3" type="noConversion"/>
  </si>
  <si>
    <t>True for plaid, checkered, or tartan patterns on the lower garment.</t>
  </si>
  <si>
    <t>Lower-Pattern-Stripe</t>
    <phoneticPr fontId="3" type="noConversion"/>
  </si>
  <si>
    <t>True for horizontal, vertical, or diagonal stripes on the lower garment, whether full or partial.</t>
  </si>
  <si>
    <t>Lower-Pattern-Abstract</t>
    <phoneticPr fontId="3" type="noConversion"/>
  </si>
  <si>
    <t>True for decorative or repeated abstract prints on the lower garment (e.g., floral, polka dots, camouflage, geometric patterns) not covered by plaid or stripe categories.</t>
  </si>
  <si>
    <t>18) LowerClothColor</t>
    <phoneticPr fontId="3" type="noConversion"/>
  </si>
  <si>
    <t>Lower-Color-Black</t>
  </si>
  <si>
    <t>True if the lower garment is black or predominantly black.</t>
  </si>
  <si>
    <t>Lower-Color-Blue</t>
  </si>
  <si>
    <t>True if the lower garment is blue or predominantly blue (common for denim jeans).</t>
  </si>
  <si>
    <t>Lower-Color-Brown</t>
  </si>
  <si>
    <t>True if the lower garment is brown or predominantly brown.</t>
  </si>
  <si>
    <t>Lower-Color-Green</t>
  </si>
  <si>
    <t>True if the lower garment is green or predominantly green.</t>
  </si>
  <si>
    <t>Lower-Color-Grey</t>
  </si>
  <si>
    <t>True if the lower garment is grey or predominantly grey.</t>
  </si>
  <si>
    <t>Lower-Color-Pink</t>
    <phoneticPr fontId="3" type="noConversion"/>
  </si>
  <si>
    <t>True if the lower garment is pink or predominantly pink.</t>
  </si>
  <si>
    <t>Lower-Color-Purple</t>
    <phoneticPr fontId="3" type="noConversion"/>
  </si>
  <si>
    <t>True if the lower garment is purple or predominantly purple.</t>
  </si>
  <si>
    <t>Lower-Color-Red</t>
    <phoneticPr fontId="3" type="noConversion"/>
  </si>
  <si>
    <t>True if the lower garment is red or predominantly red.</t>
  </si>
  <si>
    <t>Lower-Color-White</t>
    <phoneticPr fontId="3" type="noConversion"/>
  </si>
  <si>
    <t>True if the lower garment is white or predominantly white.</t>
  </si>
  <si>
    <t>Lower-Color-Yellow</t>
    <phoneticPr fontId="3" type="noConversion"/>
  </si>
  <si>
    <t>True if the lower garment is yellow or predominantly yellow.</t>
  </si>
  <si>
    <t>19) LowerClothMaterial</t>
    <phoneticPr fontId="3" type="noConversion"/>
  </si>
  <si>
    <t>Lower-Material-Denim</t>
    <phoneticPr fontId="3" type="noConversion"/>
  </si>
  <si>
    <t>True if the lower garment is made of denim material (e.g., jeans, denim shorts, denim skirts). Identified by characteristic denim texture, stitching, or blue indigo color. False if material cannot be determined or is not denim.</t>
  </si>
  <si>
    <t>6) Footwear</t>
    <phoneticPr fontId="3" type="noConversion"/>
  </si>
  <si>
    <t>20) FootwearType</t>
    <phoneticPr fontId="3" type="noConversion"/>
  </si>
  <si>
    <t>Footwear-Type-Boots</t>
    <phoneticPr fontId="3" type="noConversion"/>
  </si>
  <si>
    <t>True for any footwear extending above the ankle, including traditional boots, ankle boots, high-top sneakers, high-top basketball shoes, or any footwear with visible ankle coverage. Set all footwear type fields to False if type cannot be confidently determined due to low image quality, occlusion, extreme angle, motion blur, or lighting.</t>
  </si>
  <si>
    <t>Footwear-Type-Flats</t>
    <phoneticPr fontId="3" type="noConversion"/>
  </si>
  <si>
    <t>True for low-cut flat shoes with an open top-of-foot area, including ballet flats, slip-ons, drivers, casual flats, or low-profile shoes with minimal foot coverage on top.</t>
  </si>
  <si>
    <t>Footwear-Type-Formal</t>
    <phoneticPr fontId="3" type="noConversion"/>
  </si>
  <si>
    <t>True for structured, closed shoes including dress shoes, business casual shoes, loafers, pumps, high/mid-heel shoes, or any formal/semi-formal footwear with complete foot coverage and structured appearance.</t>
  </si>
  <si>
    <t>Footwear-Type-Sandals</t>
    <phoneticPr fontId="3" type="noConversion"/>
  </si>
  <si>
    <t>True for footwear with open toe or open heel area, including flip-flops, slides, gladiators, strappy sandals, or any footwear with obvious open construction and exposed foot areas.</t>
  </si>
  <si>
    <t>Footwear-Type-Sneakers</t>
    <phoneticPr fontId="3" type="noConversion"/>
  </si>
  <si>
    <t>True for athletic shoes, running shoes, canvas shoes, or sports-style shoes with athletic features that remain below ankle height. High-top sneakers should be classified as Boots instead.</t>
  </si>
  <si>
    <t>21) FootwearColor</t>
    <phoneticPr fontId="3" type="noConversion"/>
  </si>
  <si>
    <t>Footwear-Color-Black</t>
    <phoneticPr fontId="3" type="noConversion"/>
  </si>
  <si>
    <t>Footwear-Color-Blue</t>
    <phoneticPr fontId="3" type="noConversion"/>
  </si>
  <si>
    <t>Footwear-Color-Brown</t>
    <phoneticPr fontId="3" type="noConversion"/>
  </si>
  <si>
    <t>True if the footwear is brown or predominantly brown. Same annotation rules as Footwear-Color-Black.</t>
  </si>
  <si>
    <t>Footwear-Color-Green</t>
    <phoneticPr fontId="3" type="noConversion"/>
  </si>
  <si>
    <t>True if the footwear is green or predominantly green. Same annotation rules as Footwear-Color-Black.</t>
  </si>
  <si>
    <t>Footwear-Color-Grey</t>
    <phoneticPr fontId="3" type="noConversion"/>
  </si>
  <si>
    <t>True if the footwear is grey or predominantly grey. Same annotation rules as Footwear-Color-Black.</t>
  </si>
  <si>
    <t>Footwear-Color-Red</t>
    <phoneticPr fontId="3" type="noConversion"/>
  </si>
  <si>
    <t>True if the footwear is red or predominantly red. Same annotation rules as Footwear-Color-Black.</t>
  </si>
  <si>
    <t>Footwear-Color-White</t>
    <phoneticPr fontId="3" type="noConversion"/>
  </si>
  <si>
    <t>True if the footwear is white or predominantly white. Same annotation rules as Footwear-Color-Black.</t>
  </si>
  <si>
    <t>Footwear-Color-Yellow</t>
    <phoneticPr fontId="3" type="noConversion"/>
  </si>
  <si>
    <t>True if the footwear is yellow or predominantly yellow. Same annotation rules as Footwear-Color-Black.</t>
  </si>
  <si>
    <t>7) Accessory</t>
    <phoneticPr fontId="3" type="noConversion"/>
  </si>
  <si>
    <t>22) HeadwearType</t>
    <phoneticPr fontId="3" type="noConversion"/>
  </si>
  <si>
    <t>Headwear-Hat</t>
    <phoneticPr fontId="3" type="noConversion"/>
  </si>
  <si>
    <t>True for hats such as caps, beanies, sun hats, berets, fedoras, bucket hats, and similar head coverings with a defined shape/brim. False if no headwear is present.</t>
  </si>
  <si>
    <t>True for rigid helmets such as bicycle helmets, motorcycle helmets, construction/safety helmets, and military helmets. Characterized by hard, protective construction.</t>
  </si>
  <si>
    <t>True for non-rigid fabric head coverings that do not fit into the hat or helmet categories. Includes hoods worn up, headscarves, hijabs, turbans, balaclavas, and similar fabric wrappings over the head.</t>
  </si>
  <si>
    <t>23) FacewearType</t>
    <phoneticPr fontId="3" type="noConversion"/>
  </si>
  <si>
    <t>Facewear-Glasses</t>
    <phoneticPr fontId="3" type="noConversion"/>
  </si>
  <si>
    <t>True if the person is wearing regular prescription glasses or reading glasses (transparent/clear lenses). False if not visible or face is not visible.</t>
  </si>
  <si>
    <t>Facewear-Sunglasses</t>
    <phoneticPr fontId="3" type="noConversion"/>
  </si>
  <si>
    <t>True if the person is wearing sunglasses (dark or tinted lenses). Distinct from regular glasses by the dark/opaque lens color.</t>
  </si>
  <si>
    <t>Facewear-Mask</t>
    <phoneticPr fontId="3" type="noConversion"/>
  </si>
  <si>
    <t>True if the person is wearing a face mask of any type (surgical mask, cloth mask, respirator, etc.) covering the nose and/or mouth area.</t>
  </si>
  <si>
    <t>24) BagType</t>
    <phoneticPr fontId="3" type="noConversion"/>
  </si>
  <si>
    <t>Bag-Backpack</t>
    <phoneticPr fontId="3" type="noConversion"/>
  </si>
  <si>
    <t>True for bags with two straps worn on both shoulders, either on the back or chest. Includes school backpacks, hiking backpacks, and similar dual-strap bags.</t>
    <phoneticPr fontId="3" type="noConversion"/>
  </si>
  <si>
    <t>Bag-Handbag</t>
    <phoneticPr fontId="3" type="noConversion"/>
  </si>
  <si>
    <t>Bag-ShoulderBag</t>
    <phoneticPr fontId="3" type="noConversion"/>
  </si>
  <si>
    <t>True for bags with one or two straps worn on a single shoulder or across the body. Includes messenger bags, crossbody bags, purses worn on one shoulder, and sling bags.</t>
  </si>
  <si>
    <t>Bag-Suitcase</t>
    <phoneticPr fontId="3" type="noConversion"/>
  </si>
  <si>
    <t>Carrying-Phone</t>
    <phoneticPr fontId="3" type="noConversion"/>
  </si>
  <si>
    <t>True if the person is actively using a phone — not just holding it, but visibly looking at, texting on, or talking on a phone in their hands. False if the phone is merely held or pocketed.</t>
  </si>
  <si>
    <t>Carrying-Umbrella</t>
    <phoneticPr fontId="3" type="noConversion"/>
  </si>
  <si>
    <t>Carrying-Drink</t>
    <phoneticPr fontId="3" type="noConversion"/>
  </si>
  <si>
    <t>True if the person is carrying a drink such as a cup, bottle, tumbler, or can.</t>
  </si>
  <si>
    <t>Carrying-Box</t>
    <phoneticPr fontId="3" type="noConversion"/>
  </si>
  <si>
    <t>True if the person is carrying a box or a package.</t>
  </si>
  <si>
    <t>Carrying-Stick</t>
    <phoneticPr fontId="3" type="noConversion"/>
  </si>
  <si>
    <t>True if the person is carrying a walking stick, a cane, or a crutch mainly for walking aid.</t>
    <phoneticPr fontId="3" type="noConversion"/>
  </si>
  <si>
    <t>Carrying-Baby</t>
    <phoneticPr fontId="3" type="noConversion"/>
  </si>
  <si>
    <t>True if the person is carrying a baby or a child in their arms.</t>
  </si>
  <si>
    <t>8) Action</t>
    <phoneticPr fontId="3" type="noConversion"/>
  </si>
  <si>
    <t>26) ActionType</t>
    <phoneticPr fontId="3" type="noConversion"/>
  </si>
  <si>
    <t>Standing</t>
    <phoneticPr fontId="3" type="noConversion"/>
  </si>
  <si>
    <t>Walking</t>
    <phoneticPr fontId="3" type="noConversion"/>
  </si>
  <si>
    <t>True if the person is standing upright in a stationary position, not visibly in motion. Multiple actions should not typically overlap (e.g., standing and walking), but edge cases may apply.</t>
  </si>
  <si>
    <t>Running</t>
    <phoneticPr fontId="3" type="noConversion"/>
  </si>
  <si>
    <t>True if the person is visibly walking — in motion with a normal pace. Indicators include leg stride, body lean, and arm swing. Distinct from running (slower pace, more upright posture).</t>
  </si>
  <si>
    <t>Riding</t>
    <phoneticPr fontId="3" type="noConversion"/>
  </si>
  <si>
    <t>Sitting</t>
    <phoneticPr fontId="3" type="noConversion"/>
  </si>
  <si>
    <t>True if the person is riding a vehicle such as a bicycle, motorcycle, wheelchair, scooter, or similar. The person is seated or positioned on a moving/rideable object.</t>
  </si>
  <si>
    <t>Pulling</t>
    <phoneticPr fontId="3" type="noConversion"/>
  </si>
  <si>
    <t>True when the head is ≥2/3 obscured (by objects, people, or frame crop), preventing reliable inference of hair, headwear, facewear, or face recognition.</t>
    <phoneticPr fontId="3" type="noConversion"/>
  </si>
  <si>
    <t xml:space="preserve">True for children and teenagers (typically under 18). Indicators: smaller body proportions, and school uniforms. </t>
    <phoneticPr fontId="3" type="noConversion"/>
  </si>
  <si>
    <t xml:space="preserve">Female based on visible cues (body shape, clothing, hair, overall appearance). </t>
    <phoneticPr fontId="3" type="noConversion"/>
  </si>
  <si>
    <t>Appears under ~140 cm tall, typical height of child under 10~13.</t>
    <phoneticPr fontId="3" type="noConversion"/>
  </si>
  <si>
    <t xml:space="preserve">Appears ~140–180 cm tall (absolute visual assessment). Most common category. </t>
    <phoneticPr fontId="3" type="noConversion"/>
  </si>
  <si>
    <t>Appears over ~180 cm tall (absolute visual assessment).</t>
    <phoneticPr fontId="3" type="noConversion"/>
  </si>
  <si>
    <t xml:space="preserve">Extremely thin — bony limbs, visible joints, minimal body mass. </t>
    <phoneticPr fontId="3" type="noConversion"/>
  </si>
  <si>
    <t xml:space="preserve">Normal build — neither notably thin nor overweight. Default category. </t>
    <phoneticPr fontId="3" type="noConversion"/>
  </si>
  <si>
    <t xml:space="preserve">Broad proportions, heavy curves, or visible excess body mass. </t>
    <phoneticPr fontId="3" type="noConversion"/>
  </si>
  <si>
    <t xml:space="preserve">True if the hair is short, typically not extending below the ears. </t>
    <phoneticPr fontId="3" type="noConversion"/>
  </si>
  <si>
    <t xml:space="preserve">True if the hair extends roughly from the ears to the shoulders. </t>
    <phoneticPr fontId="3" type="noConversion"/>
  </si>
  <si>
    <t xml:space="preserve">True if the hair extends below the shoulders. </t>
    <phoneticPr fontId="3" type="noConversion"/>
  </si>
  <si>
    <t>True if the hair is tied in a ponytail style (hair gathered and secured at the back or side of the head). Typically associated with females but applicable to anyone. False if hair is loose or styled differently, or if hair is not visible.</t>
    <phoneticPr fontId="3" type="noConversion"/>
  </si>
  <si>
    <t>True if the hair is brown or the worn headwear (hat, helmet, or head cover) is dominantly brown. Typically associated with dyed hair.</t>
    <phoneticPr fontId="3" type="noConversion"/>
  </si>
  <si>
    <t xml:space="preserve">True if the upper garment has short sleeves ending above the elbow. </t>
    <phoneticPr fontId="3" type="noConversion"/>
  </si>
  <si>
    <t>True if the upper garment has long sleeves reaching the wrist.</t>
    <phoneticPr fontId="3" type="noConversion"/>
  </si>
  <si>
    <t xml:space="preserve">True for a single, prominent printed element such as brand-specific logos, text slogans, or cartoon characters, usually centered or isolated on the chest, back, or sleeve. </t>
    <phoneticPr fontId="3" type="noConversion"/>
  </si>
  <si>
    <t>True if the upper garment has no visible pattern and appears as a single, uniform color. When layered garments are present, classify based on the most visible/dominant garment pattern. Multiple patterns can be True if they coexist. Set all pattern fields to False if pattern cannot be determined due to image quality, lighting, or occlusion.</t>
    <phoneticPr fontId="3" type="noConversion"/>
  </si>
  <si>
    <t>True if the footwear is blue or predominantly blue. Same annotation rules as Footwear-Color-Black.</t>
    <phoneticPr fontId="3" type="noConversion"/>
  </si>
  <si>
    <t>True if the footwear is black or predominantly black based on the upper (top) color. Multiple colors are True if outsole or accents (e.g., laces) are equally dominant and have different colors.</t>
    <phoneticPr fontId="3" type="noConversion"/>
  </si>
  <si>
    <t>True for any bags carried by hand, wrist, or forearm. Includes top-handle bags, satchels, hand-held totes, shopping bags (leather, plastic, or paper), and clutches. Multiple bag types can be True simultaneously if visibly carried.</t>
    <phoneticPr fontId="3" type="noConversion"/>
  </si>
  <si>
    <t xml:space="preserve">True if the person is carrying an umbrella while it is open. </t>
    <phoneticPr fontId="3" type="noConversion"/>
  </si>
  <si>
    <t>True if the person is visibly running — in faster motion than walking. Indicators include wider leg stride, more pronounced body lean, and dynamic arm/leg movement.</t>
    <phoneticPr fontId="3" type="noConversion"/>
  </si>
  <si>
    <t>True if the person is sitting on a chair, bench, the ground, or any other surface. Body is in a seated position with legs bent.</t>
    <phoneticPr fontId="3" type="noConversion"/>
  </si>
  <si>
    <t xml:space="preserve">Elderly individuals. Indicators: grey/white hair, bald hair, and hunched posture. </t>
    <phoneticPr fontId="3" type="noConversion"/>
  </si>
  <si>
    <t>True for structured rectangular travel bags or wheeled bags typically pulled or pushed, such as rolling suitcases, shopping trolley bags, and large wheeled luggage.</t>
    <phoneticPr fontId="3" type="noConversion"/>
  </si>
  <si>
    <t>True if the person is pulling or pushing trolley, cart, suitcase, bike, or walking aid crutch. Indicators include body lean, body bent, and objects interacted with.</t>
    <phoneticPr fontId="3" type="noConversion"/>
  </si>
  <si>
    <t>Headwear-Helmet</t>
    <phoneticPr fontId="3" type="noConversion"/>
  </si>
  <si>
    <t>Headwear-Other</t>
    <phoneticPr fontId="3" type="noConversion"/>
  </si>
  <si>
    <t>InvisiblePart-LowerBody</t>
    <phoneticPr fontId="3" type="noConversion"/>
  </si>
  <si>
    <t>16) LowerClothLength</t>
    <phoneticPr fontId="3" type="noConversion"/>
  </si>
  <si>
    <t>25) CarryingItemType</t>
    <phoneticPr fontId="3" type="noConversion"/>
  </si>
  <si>
    <t>Annotation Guideline</t>
    <phoneticPr fontId="3" type="noConversion"/>
  </si>
  <si>
    <t>attribute label</t>
    <phoneticPr fontId="3" type="noConversion"/>
  </si>
  <si>
    <t># Positive</t>
    <phoneticPr fontId="3" type="noConversion"/>
  </si>
  <si>
    <t># Train</t>
    <phoneticPr fontId="3" type="noConversion"/>
  </si>
  <si>
    <t># Val</t>
    <phoneticPr fontId="3" type="noConversion"/>
  </si>
  <si>
    <t># Test</t>
    <phoneticPr fontId="3" type="noConversion"/>
  </si>
  <si>
    <t>Positive recall</t>
    <phoneticPr fontId="3" type="noConversion"/>
  </si>
  <si>
    <t>Negative recall</t>
    <phoneticPr fontId="3" type="noConversion"/>
  </si>
  <si>
    <t>mA</t>
    <phoneticPr fontId="3" type="noConversion"/>
  </si>
  <si>
    <t>+_recall</t>
    <phoneticPr fontId="3" type="noConversion"/>
  </si>
  <si>
    <t>-_recall</t>
    <phoneticPr fontId="3" type="noConversion"/>
  </si>
  <si>
    <t>Grouped mA</t>
    <phoneticPr fontId="3" type="noConversion"/>
  </si>
  <si>
    <t>1)</t>
  </si>
  <si>
    <t>action-pulling</t>
  </si>
  <si>
    <t>2)</t>
  </si>
  <si>
    <t>action-riding</t>
  </si>
  <si>
    <t>3)</t>
  </si>
  <si>
    <t>action-running</t>
  </si>
  <si>
    <t>4)</t>
  </si>
  <si>
    <t>action-sitting</t>
  </si>
  <si>
    <t>5)</t>
  </si>
  <si>
    <t>action-standing</t>
  </si>
  <si>
    <t>6)</t>
  </si>
  <si>
    <t>action-walking</t>
  </si>
  <si>
    <t>7)</t>
  </si>
  <si>
    <t>age-adult</t>
  </si>
  <si>
    <t>8)</t>
  </si>
  <si>
    <t>age-minor</t>
  </si>
  <si>
    <t>9)</t>
  </si>
  <si>
    <t>age-old</t>
  </si>
  <si>
    <t>10)</t>
  </si>
  <si>
    <t>bag_type-backpack</t>
  </si>
  <si>
    <t>11)</t>
  </si>
  <si>
    <t>bag_type-handbag</t>
  </si>
  <si>
    <t>12)</t>
  </si>
  <si>
    <t>bag_type-shoulder_bag</t>
  </si>
  <si>
    <t>13)</t>
  </si>
  <si>
    <t>bag_type-suitcase</t>
  </si>
  <si>
    <t>14)</t>
  </si>
  <si>
    <t>body_view-back</t>
  </si>
  <si>
    <t>15)</t>
  </si>
  <si>
    <t>body_view-front</t>
  </si>
  <si>
    <t>16)</t>
  </si>
  <si>
    <t>body_view-side</t>
  </si>
  <si>
    <t>17)</t>
  </si>
  <si>
    <t>carrying_item_type-baby</t>
  </si>
  <si>
    <t>18)</t>
  </si>
  <si>
    <t>carrying_item_type-box</t>
  </si>
  <si>
    <t>19)</t>
  </si>
  <si>
    <t>carrying_item_type-drink</t>
  </si>
  <si>
    <t>20)</t>
  </si>
  <si>
    <t>carrying_item_type-phone</t>
  </si>
  <si>
    <t>21)</t>
  </si>
  <si>
    <t>carrying_item_type-stick</t>
  </si>
  <si>
    <t>22)</t>
  </si>
  <si>
    <t>carrying_item_type-umbrella</t>
  </si>
  <si>
    <t>23)</t>
  </si>
  <si>
    <t>face-recognizable</t>
  </si>
  <si>
    <t>24)</t>
  </si>
  <si>
    <t>facewear_type-glasses</t>
  </si>
  <si>
    <t>25)</t>
  </si>
  <si>
    <t>facewear_type-mask</t>
  </si>
  <si>
    <t>26)</t>
  </si>
  <si>
    <t>facewear_type-sunglasses</t>
  </si>
  <si>
    <t>27)</t>
  </si>
  <si>
    <t>footwear_color-black</t>
  </si>
  <si>
    <t>28)</t>
  </si>
  <si>
    <t>footwear_color-blue</t>
  </si>
  <si>
    <t>29)</t>
  </si>
  <si>
    <t>footwear_color-brown</t>
  </si>
  <si>
    <t>30)</t>
  </si>
  <si>
    <t>footwear_color-green</t>
  </si>
  <si>
    <t>31)</t>
  </si>
  <si>
    <t>footwear_color-grey</t>
  </si>
  <si>
    <t>32)</t>
  </si>
  <si>
    <t>footwear_color-red</t>
  </si>
  <si>
    <t>33)</t>
  </si>
  <si>
    <t>footwear_color-white</t>
  </si>
  <si>
    <t>34)</t>
  </si>
  <si>
    <t>footwear_color-yellow</t>
  </si>
  <si>
    <t>35)</t>
  </si>
  <si>
    <t>footwear_type-boots</t>
  </si>
  <si>
    <t>36)</t>
  </si>
  <si>
    <t>footwear_type-flats</t>
  </si>
  <si>
    <t>37)</t>
  </si>
  <si>
    <t>footwear_type-formal</t>
  </si>
  <si>
    <t>38)</t>
  </si>
  <si>
    <t>footwear_type-sandals</t>
  </si>
  <si>
    <t>39)</t>
  </si>
  <si>
    <t>footwear_type-sneakers</t>
  </si>
  <si>
    <t>40)</t>
  </si>
  <si>
    <t>gender-female</t>
  </si>
  <si>
    <t>41)</t>
  </si>
  <si>
    <t>gender-male</t>
  </si>
  <si>
    <t>42)</t>
  </si>
  <si>
    <t>hair_length-bald</t>
  </si>
  <si>
    <t>43)</t>
  </si>
  <si>
    <t>hair_length-long</t>
  </si>
  <si>
    <t>44)</t>
  </si>
  <si>
    <t>hair_length-medium</t>
  </si>
  <si>
    <t>45)</t>
  </si>
  <si>
    <t>hair_length-short</t>
  </si>
  <si>
    <t>46)</t>
  </si>
  <si>
    <t>hair_style-ponytail</t>
  </si>
  <si>
    <t>47)</t>
  </si>
  <si>
    <t>head_color-black</t>
  </si>
  <si>
    <t>48)</t>
  </si>
  <si>
    <t>head_color-blue</t>
  </si>
  <si>
    <t>49)</t>
  </si>
  <si>
    <t>head_color-brown</t>
  </si>
  <si>
    <t>50)</t>
  </si>
  <si>
    <t>head_color-green</t>
  </si>
  <si>
    <t>51)</t>
  </si>
  <si>
    <t>head_color-grey</t>
  </si>
  <si>
    <t>52)</t>
  </si>
  <si>
    <t>head_color-orange</t>
  </si>
  <si>
    <t>53)</t>
  </si>
  <si>
    <t>head_color-red</t>
  </si>
  <si>
    <t>54)</t>
  </si>
  <si>
    <t>head_color-white</t>
  </si>
  <si>
    <t>55)</t>
  </si>
  <si>
    <t>head_color-yellow</t>
  </si>
  <si>
    <t>56)</t>
  </si>
  <si>
    <t>headwear_type-hat</t>
  </si>
  <si>
    <t>57)</t>
  </si>
  <si>
    <t>headwear_type-helmet</t>
  </si>
  <si>
    <t>58)</t>
  </si>
  <si>
    <t>headwear_type-other</t>
  </si>
  <si>
    <t>59)</t>
  </si>
  <si>
    <t>height-average</t>
  </si>
  <si>
    <t>60)</t>
  </si>
  <si>
    <t>height-short</t>
  </si>
  <si>
    <t>61)</t>
  </si>
  <si>
    <t>height-tall</t>
  </si>
  <si>
    <t>62)</t>
  </si>
  <si>
    <t>lower_cloth_color-black</t>
  </si>
  <si>
    <t>63)</t>
  </si>
  <si>
    <t>lower_cloth_color-blue</t>
  </si>
  <si>
    <t>64)</t>
  </si>
  <si>
    <t>lower_cloth_color-brown</t>
  </si>
  <si>
    <t>65)</t>
  </si>
  <si>
    <t>lower_cloth_color-green</t>
  </si>
  <si>
    <t>66)</t>
  </si>
  <si>
    <t>lower_cloth_color-grey</t>
  </si>
  <si>
    <t>67)</t>
  </si>
  <si>
    <t>lower_cloth_color-pink</t>
  </si>
  <si>
    <t>68)</t>
  </si>
  <si>
    <t>lower_cloth_color-purple</t>
  </si>
  <si>
    <t>69)</t>
  </si>
  <si>
    <t>lower_cloth_color-red</t>
  </si>
  <si>
    <t>70)</t>
  </si>
  <si>
    <t>lower_cloth_color-white</t>
  </si>
  <si>
    <t>71)</t>
  </si>
  <si>
    <t>lower_cloth_color-yellow</t>
  </si>
  <si>
    <t>72)</t>
  </si>
  <si>
    <t>lower_cloth_length-full</t>
  </si>
  <si>
    <t>73)</t>
  </si>
  <si>
    <t>lower_cloth_length-mid_calf</t>
  </si>
  <si>
    <t>74)</t>
  </si>
  <si>
    <t>lower_cloth_length-short</t>
  </si>
  <si>
    <t>75)</t>
  </si>
  <si>
    <t>lower_cloth_material-denim</t>
  </si>
  <si>
    <t>76)</t>
  </si>
  <si>
    <t>lower_cloth_pattern-abstract</t>
  </si>
  <si>
    <t>77)</t>
  </si>
  <si>
    <t>lower_cloth_pattern-plaid</t>
  </si>
  <si>
    <t>78)</t>
  </si>
  <si>
    <t>lower_cloth_pattern-solid</t>
  </si>
  <si>
    <t>79)</t>
  </si>
  <si>
    <t>lower_cloth_pattern-stripe</t>
  </si>
  <si>
    <t>80)</t>
  </si>
  <si>
    <t>lower_cloth_legwear-tights</t>
  </si>
  <si>
    <t>81)</t>
  </si>
  <si>
    <t>lower_cloth_type-pants</t>
  </si>
  <si>
    <t>82)</t>
  </si>
  <si>
    <t>lower_cloth_type-skirt</t>
  </si>
  <si>
    <t>83)</t>
  </si>
  <si>
    <t>upper_cloth_color-black</t>
  </si>
  <si>
    <t>84)</t>
  </si>
  <si>
    <t>upper_cloth_color-blue</t>
  </si>
  <si>
    <t>85)</t>
  </si>
  <si>
    <t>upper_cloth_color-brown</t>
  </si>
  <si>
    <t>86)</t>
  </si>
  <si>
    <t>upper_cloth_color-green</t>
  </si>
  <si>
    <t>87)</t>
  </si>
  <si>
    <t>upper_cloth_color-grey</t>
  </si>
  <si>
    <t>88)</t>
  </si>
  <si>
    <t>upper_cloth_color-orange</t>
  </si>
  <si>
    <t>89)</t>
  </si>
  <si>
    <t>upper_cloth_color-pink</t>
  </si>
  <si>
    <t>90)</t>
  </si>
  <si>
    <t>upper_cloth_color-purple</t>
  </si>
  <si>
    <t>91)</t>
  </si>
  <si>
    <t>upper_cloth_color-red</t>
  </si>
  <si>
    <t>92)</t>
  </si>
  <si>
    <t>upper_cloth_color-white</t>
  </si>
  <si>
    <t>93)</t>
  </si>
  <si>
    <t>upper_cloth_color-yellow</t>
  </si>
  <si>
    <t>94)</t>
  </si>
  <si>
    <t>upper_cloth_pattern-abstract</t>
  </si>
  <si>
    <t>95)</t>
  </si>
  <si>
    <t>upper_cloth_pattern-logo</t>
  </si>
  <si>
    <t>96)</t>
  </si>
  <si>
    <t>upper_cloth_pattern-plaid</t>
  </si>
  <si>
    <t>97)</t>
  </si>
  <si>
    <t>upper_cloth_pattern-solid</t>
  </si>
  <si>
    <t>98)</t>
  </si>
  <si>
    <t>upper_cloth_pattern-splice</t>
  </si>
  <si>
    <t>99)</t>
  </si>
  <si>
    <t>upper_cloth_pattern-stripe</t>
  </si>
  <si>
    <t>100)</t>
  </si>
  <si>
    <t>upper_cloth_sleeve-long</t>
  </si>
  <si>
    <t>101)</t>
  </si>
  <si>
    <t>upper_cloth_sleeve-short</t>
  </si>
  <si>
    <t>102)</t>
  </si>
  <si>
    <t>upper_cloth_sleeve-sleeveless</t>
  </si>
  <si>
    <t>103)</t>
  </si>
  <si>
    <t>upper_cloth_type-blazer</t>
  </si>
  <si>
    <t>104)</t>
  </si>
  <si>
    <t>upper_cloth_type-dress</t>
  </si>
  <si>
    <t>105)</t>
  </si>
  <si>
    <t>upper_cloth_type-jacket</t>
  </si>
  <si>
    <t>106)</t>
  </si>
  <si>
    <t>upper_cloth_type-longcoat</t>
  </si>
  <si>
    <t>107)</t>
  </si>
  <si>
    <t>upper_cloth_type-shirt</t>
  </si>
  <si>
    <t>108)</t>
  </si>
  <si>
    <t>upper_cloth_type-sweater</t>
  </si>
  <si>
    <t>109)</t>
  </si>
  <si>
    <t>upper_cloth_type-tshirt</t>
  </si>
  <si>
    <t>110)</t>
  </si>
  <si>
    <t>visibility-fully_visible</t>
  </si>
  <si>
    <t>111)</t>
  </si>
  <si>
    <t>visibility-invisible_feet</t>
  </si>
  <si>
    <t>112)</t>
  </si>
  <si>
    <t>visibility-invisible_head</t>
  </si>
  <si>
    <t>113)</t>
  </si>
  <si>
    <t>visibility-invisible_lower_body</t>
  </si>
  <si>
    <t>114)</t>
  </si>
  <si>
    <t>visibility-invisible_upper_body</t>
  </si>
  <si>
    <t>115)</t>
  </si>
  <si>
    <t>visibility-multi_person_ambiguity</t>
  </si>
  <si>
    <t>116)</t>
  </si>
  <si>
    <t>visibility-partially_visible</t>
  </si>
  <si>
    <t>117)</t>
  </si>
  <si>
    <t>weight_bodyshape-average</t>
  </si>
  <si>
    <t>118)</t>
  </si>
  <si>
    <t>weight_bodyshape-overweight</t>
  </si>
  <si>
    <t>119)</t>
  </si>
  <si>
    <t>weight_bodyshape-stooped_posture</t>
  </si>
  <si>
    <t>120)</t>
  </si>
  <si>
    <t>weight_bodyshape-underweight</t>
  </si>
  <si>
    <t>---------------------------------------------------------------------------------</t>
  </si>
  <si>
    <t>total/avg.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</si>
</sst>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0000_);[Red]\(0.0000\)"/>
  </numFmts>
  <fonts count="9">
    <font>
      <sz val="11"/>
      <color theme="1"/>
      <name val="맑은 고딕"/>
      <family val="2"/>
      <charset val="129"/>
      <scheme val="minor"/>
    </font>
    <font>
      <sz val="11"/>
      <color theme="1"/>
      <name val="맑은 고딕"/>
      <family val="2"/>
      <charset val="129"/>
      <scheme val="minor"/>
    </font>
    <font>
      <sz val="10"/>
      <color theme="1"/>
      <name val="맑은 고딕"/>
      <family val="3"/>
      <charset val="129"/>
      <scheme val="minor"/>
    </font>
    <font>
      <sz val="8"/>
      <name val="맑은 고딕"/>
      <family val="2"/>
      <charset val="129"/>
      <scheme val="minor"/>
    </font>
    <font>
      <sz val="10"/>
      <name val="맑은 고딕"/>
      <family val="3"/>
      <charset val="129"/>
      <scheme val="minor"/>
    </font>
    <font>
      <sz val="11"/>
      <color theme="1"/>
      <name val="Consolas"/>
      <family val="3"/>
    </font>
    <font>
      <sz val="11"/>
      <name val="맑은 고딕"/>
      <family val="3"/>
      <charset val="129"/>
      <scheme val="minor"/>
    </font>
    <font>
      <sz val="7"/>
      <color theme="1"/>
      <name val="Consolas"/>
      <family val="3"/>
    </font>
    <font>
      <sz val="11"/>
      <color theme="1"/>
      <name val="맑은 고딕"/>
      <family val="3"/>
      <charset val="129"/>
      <scheme val="minor"/>
    </font>
  </fonts>
  <fills count="5">
    <fill>
      <patternFill patternType="none"/>
    </fill>
    <fill>
      <patternFill patternType="gray125"/>
    </fill>
    <fill>
      <patternFill patternType="solid">
        <fgColor rgb="FFFFFFCC"/>
      </patternFill>
    </fill>
    <fill>
      <patternFill patternType="solid">
        <fgColor theme="0"/>
        <bgColor indexed="64"/>
      </patternFill>
    </fill>
    <fill>
      <patternFill patternType="solid">
        <fgColor theme="3" tint="0.89999084444715716"/>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0" fillId="0" borderId="0">
      <alignment vertical="center"/>
    </xf>
    <xf numFmtId="41" fontId="1" fillId="0" borderId="0" applyFont="0" applyFill="0" applyBorder="0" applyAlignment="0" applyProtection="0">
      <alignment vertical="center"/>
    </xf>
    <xf numFmtId="0" fontId="1" fillId="2" borderId="1" applyNumberFormat="0" applyFont="0" applyAlignment="0" applyProtection="0">
      <alignment vertical="center"/>
    </xf>
  </cellStyleXfs>
  <cellXfs count="39">
    <xf numFmtId="0" fontId="0" fillId="0" borderId="0" xfId="0">
      <alignment vertical="center"/>
    </xf>
    <xf numFmtId="0" fontId="2" fillId="3" borderId="1" xfId="2" applyFont="1" applyFill="1" applyAlignment="1">
      <alignment horizontal="center" vertical="center"/>
    </xf>
    <xf numFmtId="0" fontId="4" fillId="3" borderId="1" xfId="2" applyFont="1" applyFill="1" applyAlignment="1">
      <alignment horizontal="left" vertical="center" wrapText="1"/>
    </xf>
    <xf numFmtId="0" fontId="4" fillId="3" borderId="1" xfId="2" applyFont="1" applyFill="1">
      <alignment vertical="center"/>
    </xf>
    <xf numFmtId="0" fontId="4" fillId="3" borderId="1" xfId="2" applyFont="1" applyFill="1" applyAlignment="1">
      <alignment vertical="top" wrapText="1"/>
    </xf>
    <xf numFmtId="0" fontId="4" fillId="3" borderId="1" xfId="2" applyFont="1" applyFill="1" applyAlignment="1">
      <alignment horizontal="left" vertical="center"/>
    </xf>
    <xf numFmtId="0" fontId="4" fillId="3" borderId="1" xfId="2" applyFont="1" applyFill="1" applyAlignment="1">
      <alignment horizontal="left" vertical="center"/>
    </xf>
    <xf numFmtId="0" fontId="2" fillId="3" borderId="1" xfId="2" applyFont="1" applyFill="1" applyAlignment="1">
      <alignment horizontal="left" vertical="center"/>
    </xf>
    <xf numFmtId="0" fontId="2" fillId="3" borderId="1" xfId="2" applyFont="1" applyFill="1" applyAlignment="1">
      <alignment horizontal="left" vertical="center"/>
    </xf>
    <xf numFmtId="0" fontId="2" fillId="3" borderId="1" xfId="2" applyFont="1" applyFill="1" applyAlignment="1">
      <alignment vertical="center"/>
    </xf>
    <xf numFmtId="0" fontId="2" fillId="3" borderId="1" xfId="2" applyFont="1" applyFill="1">
      <alignment vertical="center"/>
    </xf>
    <xf numFmtId="0" fontId="2" fillId="4" borderId="1" xfId="2" applyFont="1" applyFill="1" applyAlignment="1">
      <alignment horizontal="center" vertical="center"/>
    </xf>
    <xf numFmtId="0" fontId="4" fillId="4" borderId="1" xfId="2" applyFont="1" applyFill="1" applyAlignment="1">
      <alignment horizontal="center" vertical="center"/>
    </xf>
    <xf numFmtId="0" fontId="2" fillId="3" borderId="1" xfId="2" applyFont="1" applyFill="1" applyAlignment="1">
      <alignment horizontal="left" vertical="center" wrapText="1"/>
    </xf>
    <xf numFmtId="0" fontId="2" fillId="4" borderId="1" xfId="2" applyFont="1" applyFill="1">
      <alignment vertical="center"/>
    </xf>
    <xf numFmtId="0" fontId="2" fillId="4" borderId="1" xfId="2" applyFont="1" applyFill="1" applyAlignment="1">
      <alignment horizontal="left" vertical="center"/>
    </xf>
    <xf numFmtId="0" fontId="5" fillId="2" borderId="1" xfId="2" applyFont="1" applyAlignment="1">
      <alignment horizontal="left" vertical="center"/>
    </xf>
    <xf numFmtId="0" fontId="0" fillId="2" borderId="1" xfId="2" applyFont="1">
      <alignment vertical="center"/>
    </xf>
    <xf numFmtId="41" fontId="0" fillId="2" borderId="1" xfId="1" applyFont="1" applyFill="1" applyBorder="1" applyAlignment="1">
      <alignment horizontal="center" vertical="center"/>
    </xf>
    <xf numFmtId="176" fontId="0" fillId="2" borderId="1" xfId="2" applyNumberFormat="1" applyFont="1" applyAlignment="1">
      <alignment horizontal="center" vertical="center"/>
    </xf>
    <xf numFmtId="176" fontId="0" fillId="2" borderId="1" xfId="2" quotePrefix="1" applyNumberFormat="1" applyFont="1" applyAlignment="1">
      <alignment horizontal="center" vertical="center"/>
    </xf>
    <xf numFmtId="0" fontId="0" fillId="2" borderId="1" xfId="2" applyFont="1" applyAlignment="1">
      <alignment horizontal="center" vertical="center"/>
    </xf>
    <xf numFmtId="0" fontId="5" fillId="3" borderId="1" xfId="2" applyFont="1" applyFill="1" applyAlignment="1">
      <alignment horizontal="left" vertical="center"/>
    </xf>
    <xf numFmtId="41" fontId="5" fillId="3" borderId="1" xfId="2" applyNumberFormat="1" applyFont="1" applyFill="1" applyAlignment="1">
      <alignment horizontal="left" vertical="center"/>
    </xf>
    <xf numFmtId="176" fontId="5" fillId="3" borderId="1" xfId="2" applyNumberFormat="1" applyFont="1" applyFill="1" applyAlignment="1">
      <alignment horizontal="right" vertical="center"/>
    </xf>
    <xf numFmtId="10" fontId="6" fillId="3" borderId="1" xfId="2" applyNumberFormat="1" applyFont="1" applyFill="1" applyAlignment="1">
      <alignment horizontal="center" vertical="center"/>
    </xf>
    <xf numFmtId="10" fontId="6" fillId="3" borderId="1" xfId="2" applyNumberFormat="1" applyFont="1" applyFill="1" applyAlignment="1">
      <alignment horizontal="center" vertical="center"/>
    </xf>
    <xf numFmtId="41" fontId="5" fillId="2" borderId="1" xfId="2" applyNumberFormat="1" applyFont="1" applyAlignment="1">
      <alignment horizontal="left" vertical="center"/>
    </xf>
    <xf numFmtId="41" fontId="0" fillId="2" borderId="1" xfId="2" applyNumberFormat="1" applyFont="1">
      <alignment vertical="center"/>
    </xf>
    <xf numFmtId="176" fontId="5" fillId="2" borderId="1" xfId="2" applyNumberFormat="1" applyFont="1" applyAlignment="1">
      <alignment horizontal="right" vertical="center"/>
    </xf>
    <xf numFmtId="0" fontId="7" fillId="0" borderId="0" xfId="0" applyFont="1" applyAlignment="1">
      <alignment horizontal="left" vertical="center"/>
    </xf>
    <xf numFmtId="41" fontId="7" fillId="0" borderId="0" xfId="1" applyFont="1" applyAlignment="1">
      <alignment horizontal="left" vertical="center"/>
    </xf>
    <xf numFmtId="176" fontId="0" fillId="0" borderId="0" xfId="0" applyNumberFormat="1" applyAlignment="1">
      <alignment horizontal="right" vertical="center"/>
    </xf>
    <xf numFmtId="176" fontId="7" fillId="0" borderId="0" xfId="0" applyNumberFormat="1" applyFont="1" applyAlignment="1">
      <alignment horizontal="right" vertical="center"/>
    </xf>
    <xf numFmtId="41" fontId="0" fillId="0" borderId="0" xfId="1" applyFont="1">
      <alignment vertical="center"/>
    </xf>
    <xf numFmtId="0" fontId="8" fillId="3" borderId="1" xfId="2" applyFont="1" applyFill="1">
      <alignment vertical="center"/>
    </xf>
    <xf numFmtId="0" fontId="5" fillId="4" borderId="1" xfId="2" applyFont="1" applyFill="1" applyAlignment="1">
      <alignment horizontal="left" vertical="center"/>
    </xf>
    <xf numFmtId="41" fontId="5" fillId="4" borderId="1" xfId="2" applyNumberFormat="1" applyFont="1" applyFill="1" applyAlignment="1">
      <alignment horizontal="left" vertical="center"/>
    </xf>
    <xf numFmtId="176" fontId="5" fillId="4" borderId="1" xfId="2" applyNumberFormat="1" applyFont="1" applyFill="1" applyAlignment="1">
      <alignment horizontal="right" vertical="center"/>
    </xf>
  </cellXfs>
  <cellStyles count="3">
    <cellStyle name="메모" xfId="2" builtinId="10"/>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4AEBC-947F-4084-861C-33B5CBCBE1AF}">
  <dimension ref="A1:D122"/>
  <sheetViews>
    <sheetView workbookViewId="0">
      <selection activeCell="D106" sqref="D106"/>
    </sheetView>
  </sheetViews>
  <sheetFormatPr defaultRowHeight="17"/>
  <cols>
    <col min="1" max="1" width="10.83203125" style="10" bestFit="1" customWidth="1"/>
    <col min="2" max="2" width="19.33203125" style="8" bestFit="1" customWidth="1"/>
    <col min="3" max="3" width="20.25" style="3" bestFit="1" customWidth="1"/>
    <col min="4" max="4" width="111.58203125" style="10" customWidth="1"/>
  </cols>
  <sheetData>
    <row r="1" spans="1:4">
      <c r="A1" s="11" t="s">
        <v>0</v>
      </c>
      <c r="B1" s="11" t="s">
        <v>1</v>
      </c>
      <c r="C1" s="12" t="s">
        <v>2</v>
      </c>
      <c r="D1" s="11" t="s">
        <v>277</v>
      </c>
    </row>
    <row r="2" spans="1:4" ht="32">
      <c r="A2" s="1" t="s">
        <v>3</v>
      </c>
      <c r="B2" s="2" t="s">
        <v>4</v>
      </c>
      <c r="C2" s="3" t="s">
        <v>5</v>
      </c>
      <c r="D2" s="4" t="s">
        <v>6</v>
      </c>
    </row>
    <row r="3" spans="1:4" ht="32">
      <c r="A3" s="1"/>
      <c r="B3" s="5"/>
      <c r="C3" s="3" t="s">
        <v>7</v>
      </c>
      <c r="D3" s="4" t="s">
        <v>8</v>
      </c>
    </row>
    <row r="4" spans="1:4" ht="32">
      <c r="A4" s="1"/>
      <c r="B4" s="5"/>
      <c r="C4" s="3" t="s">
        <v>9</v>
      </c>
      <c r="D4" s="4" t="s">
        <v>10</v>
      </c>
    </row>
    <row r="5" spans="1:4" ht="32">
      <c r="A5" s="1"/>
      <c r="B5" s="5"/>
      <c r="C5" s="3" t="s">
        <v>11</v>
      </c>
      <c r="D5" s="4" t="s">
        <v>245</v>
      </c>
    </row>
    <row r="6" spans="1:4">
      <c r="A6" s="1"/>
      <c r="B6" s="5"/>
      <c r="C6" s="3" t="s">
        <v>12</v>
      </c>
      <c r="D6" s="4" t="s">
        <v>13</v>
      </c>
    </row>
    <row r="7" spans="1:4">
      <c r="A7" s="1"/>
      <c r="B7" s="5"/>
      <c r="C7" s="3" t="s">
        <v>274</v>
      </c>
      <c r="D7" s="4" t="s">
        <v>14</v>
      </c>
    </row>
    <row r="8" spans="1:4">
      <c r="A8" s="1"/>
      <c r="B8" s="5"/>
      <c r="C8" s="3" t="s">
        <v>15</v>
      </c>
      <c r="D8" s="4" t="s">
        <v>16</v>
      </c>
    </row>
    <row r="9" spans="1:4" ht="32">
      <c r="A9" s="1"/>
      <c r="B9" s="5"/>
      <c r="C9" s="3" t="s">
        <v>17</v>
      </c>
      <c r="D9" s="4" t="s">
        <v>18</v>
      </c>
    </row>
    <row r="10" spans="1:4">
      <c r="A10" s="1"/>
      <c r="B10" s="5" t="s">
        <v>19</v>
      </c>
      <c r="C10" s="3" t="s">
        <v>20</v>
      </c>
      <c r="D10" s="4" t="s">
        <v>21</v>
      </c>
    </row>
    <row r="11" spans="1:4">
      <c r="A11" s="1"/>
      <c r="B11" s="5"/>
      <c r="C11" s="3" t="s">
        <v>22</v>
      </c>
      <c r="D11" s="4" t="s">
        <v>23</v>
      </c>
    </row>
    <row r="12" spans="1:4">
      <c r="A12" s="1"/>
      <c r="B12" s="5"/>
      <c r="C12" s="3" t="s">
        <v>24</v>
      </c>
      <c r="D12" s="4" t="s">
        <v>25</v>
      </c>
    </row>
    <row r="13" spans="1:4">
      <c r="A13" s="1" t="s">
        <v>26</v>
      </c>
      <c r="B13" s="7" t="s">
        <v>27</v>
      </c>
      <c r="C13" s="3" t="s">
        <v>28</v>
      </c>
      <c r="D13" s="4" t="s">
        <v>246</v>
      </c>
    </row>
    <row r="14" spans="1:4">
      <c r="A14" s="1"/>
      <c r="B14" s="7"/>
      <c r="C14" s="3" t="s">
        <v>29</v>
      </c>
      <c r="D14" s="4" t="s">
        <v>30</v>
      </c>
    </row>
    <row r="15" spans="1:4">
      <c r="A15" s="1"/>
      <c r="B15" s="7"/>
      <c r="C15" s="3" t="s">
        <v>31</v>
      </c>
      <c r="D15" s="4" t="s">
        <v>269</v>
      </c>
    </row>
    <row r="16" spans="1:4">
      <c r="A16" s="1"/>
      <c r="B16" s="7" t="s">
        <v>32</v>
      </c>
      <c r="C16" s="3" t="s">
        <v>33</v>
      </c>
      <c r="D16" s="4" t="s">
        <v>247</v>
      </c>
    </row>
    <row r="17" spans="1:4">
      <c r="A17" s="1"/>
      <c r="B17" s="7"/>
      <c r="C17" s="3" t="s">
        <v>34</v>
      </c>
      <c r="D17" s="4" t="s">
        <v>35</v>
      </c>
    </row>
    <row r="18" spans="1:4">
      <c r="A18" s="1"/>
      <c r="B18" s="7" t="s">
        <v>36</v>
      </c>
      <c r="C18" s="3" t="s">
        <v>37</v>
      </c>
      <c r="D18" s="4" t="s">
        <v>248</v>
      </c>
    </row>
    <row r="19" spans="1:4">
      <c r="A19" s="1"/>
      <c r="B19" s="7"/>
      <c r="C19" s="3" t="s">
        <v>38</v>
      </c>
      <c r="D19" s="4" t="s">
        <v>249</v>
      </c>
    </row>
    <row r="20" spans="1:4">
      <c r="A20" s="1"/>
      <c r="B20" s="7"/>
      <c r="C20" s="3" t="s">
        <v>39</v>
      </c>
      <c r="D20" s="4" t="s">
        <v>250</v>
      </c>
    </row>
    <row r="21" spans="1:4">
      <c r="A21" s="1"/>
      <c r="B21" s="7" t="s">
        <v>40</v>
      </c>
      <c r="C21" s="3" t="s">
        <v>41</v>
      </c>
      <c r="D21" s="4" t="s">
        <v>251</v>
      </c>
    </row>
    <row r="22" spans="1:4">
      <c r="A22" s="1"/>
      <c r="B22" s="7"/>
      <c r="C22" s="3" t="s">
        <v>42</v>
      </c>
      <c r="D22" s="4" t="s">
        <v>252</v>
      </c>
    </row>
    <row r="23" spans="1:4">
      <c r="A23" s="1"/>
      <c r="B23" s="7"/>
      <c r="C23" s="3" t="s">
        <v>43</v>
      </c>
      <c r="D23" s="4" t="s">
        <v>253</v>
      </c>
    </row>
    <row r="24" spans="1:4">
      <c r="A24" s="1"/>
      <c r="B24" s="7"/>
      <c r="C24" s="3" t="s">
        <v>44</v>
      </c>
      <c r="D24" s="4" t="s">
        <v>45</v>
      </c>
    </row>
    <row r="25" spans="1:4" ht="32">
      <c r="A25" s="1" t="s">
        <v>46</v>
      </c>
      <c r="B25" s="7" t="s">
        <v>47</v>
      </c>
      <c r="C25" s="3" t="s">
        <v>48</v>
      </c>
      <c r="D25" s="4" t="s">
        <v>49</v>
      </c>
    </row>
    <row r="26" spans="1:4">
      <c r="A26" s="1"/>
      <c r="B26" s="7"/>
      <c r="C26" s="3" t="s">
        <v>50</v>
      </c>
      <c r="D26" s="4" t="s">
        <v>254</v>
      </c>
    </row>
    <row r="27" spans="1:4">
      <c r="A27" s="1"/>
      <c r="B27" s="7"/>
      <c r="C27" s="3" t="s">
        <v>51</v>
      </c>
      <c r="D27" s="4" t="s">
        <v>255</v>
      </c>
    </row>
    <row r="28" spans="1:4">
      <c r="A28" s="1"/>
      <c r="B28" s="7"/>
      <c r="C28" s="3" t="s">
        <v>52</v>
      </c>
      <c r="D28" s="4" t="s">
        <v>256</v>
      </c>
    </row>
    <row r="29" spans="1:4" ht="32">
      <c r="A29" s="1"/>
      <c r="B29" s="8" t="s">
        <v>53</v>
      </c>
      <c r="C29" s="3" t="s">
        <v>54</v>
      </c>
      <c r="D29" s="4" t="s">
        <v>257</v>
      </c>
    </row>
    <row r="30" spans="1:4">
      <c r="A30" s="1"/>
      <c r="B30" s="7" t="s">
        <v>55</v>
      </c>
      <c r="C30" s="3" t="s">
        <v>56</v>
      </c>
      <c r="D30" s="4" t="s">
        <v>57</v>
      </c>
    </row>
    <row r="31" spans="1:4">
      <c r="A31" s="1"/>
      <c r="B31" s="7"/>
      <c r="C31" s="3" t="s">
        <v>58</v>
      </c>
      <c r="D31" s="4" t="s">
        <v>59</v>
      </c>
    </row>
    <row r="32" spans="1:4">
      <c r="A32" s="1"/>
      <c r="B32" s="7"/>
      <c r="C32" s="3" t="s">
        <v>60</v>
      </c>
      <c r="D32" s="4" t="s">
        <v>258</v>
      </c>
    </row>
    <row r="33" spans="1:4">
      <c r="A33" s="1"/>
      <c r="B33" s="7"/>
      <c r="C33" s="3" t="s">
        <v>61</v>
      </c>
      <c r="D33" s="4" t="s">
        <v>62</v>
      </c>
    </row>
    <row r="34" spans="1:4" ht="32">
      <c r="A34" s="1"/>
      <c r="B34" s="7"/>
      <c r="C34" s="3" t="s">
        <v>63</v>
      </c>
      <c r="D34" s="4" t="s">
        <v>64</v>
      </c>
    </row>
    <row r="35" spans="1:4">
      <c r="A35" s="1"/>
      <c r="B35" s="7"/>
      <c r="C35" s="3" t="s">
        <v>65</v>
      </c>
      <c r="D35" s="4" t="s">
        <v>66</v>
      </c>
    </row>
    <row r="36" spans="1:4">
      <c r="A36" s="1"/>
      <c r="B36" s="7"/>
      <c r="C36" s="3" t="s">
        <v>67</v>
      </c>
      <c r="D36" s="4" t="s">
        <v>68</v>
      </c>
    </row>
    <row r="37" spans="1:4">
      <c r="A37" s="1"/>
      <c r="B37" s="7"/>
      <c r="C37" s="3" t="s">
        <v>69</v>
      </c>
      <c r="D37" s="4" t="s">
        <v>70</v>
      </c>
    </row>
    <row r="38" spans="1:4">
      <c r="A38" s="1"/>
      <c r="B38" s="7"/>
      <c r="C38" s="3" t="s">
        <v>71</v>
      </c>
      <c r="D38" s="4" t="s">
        <v>72</v>
      </c>
    </row>
    <row r="39" spans="1:4" ht="48">
      <c r="A39" s="1" t="s">
        <v>73</v>
      </c>
      <c r="B39" s="5" t="s">
        <v>74</v>
      </c>
      <c r="C39" s="3" t="s">
        <v>75</v>
      </c>
      <c r="D39" s="4" t="s">
        <v>76</v>
      </c>
    </row>
    <row r="40" spans="1:4" ht="32">
      <c r="A40" s="1"/>
      <c r="B40" s="5"/>
      <c r="C40" s="3" t="s">
        <v>77</v>
      </c>
      <c r="D40" s="4" t="s">
        <v>78</v>
      </c>
    </row>
    <row r="41" spans="1:4" ht="32">
      <c r="A41" s="1"/>
      <c r="B41" s="5"/>
      <c r="C41" s="3" t="s">
        <v>79</v>
      </c>
      <c r="D41" s="4" t="s">
        <v>80</v>
      </c>
    </row>
    <row r="42" spans="1:4" ht="32">
      <c r="A42" s="1"/>
      <c r="B42" s="5"/>
      <c r="C42" s="3" t="s">
        <v>81</v>
      </c>
      <c r="D42" s="4" t="s">
        <v>82</v>
      </c>
    </row>
    <row r="43" spans="1:4" ht="32">
      <c r="A43" s="1"/>
      <c r="B43" s="5"/>
      <c r="C43" s="3" t="s">
        <v>83</v>
      </c>
      <c r="D43" s="4" t="s">
        <v>84</v>
      </c>
    </row>
    <row r="44" spans="1:4" ht="32">
      <c r="A44" s="1"/>
      <c r="B44" s="5"/>
      <c r="C44" s="3" t="s">
        <v>85</v>
      </c>
      <c r="D44" s="4" t="s">
        <v>86</v>
      </c>
    </row>
    <row r="45" spans="1:4" ht="32">
      <c r="A45" s="1"/>
      <c r="B45" s="5"/>
      <c r="C45" s="3" t="s">
        <v>87</v>
      </c>
      <c r="D45" s="4" t="s">
        <v>88</v>
      </c>
    </row>
    <row r="46" spans="1:4" ht="32">
      <c r="A46" s="1"/>
      <c r="B46" s="7" t="s">
        <v>89</v>
      </c>
      <c r="C46" s="3" t="s">
        <v>90</v>
      </c>
      <c r="D46" s="4" t="s">
        <v>91</v>
      </c>
    </row>
    <row r="47" spans="1:4">
      <c r="A47" s="1"/>
      <c r="B47" s="7"/>
      <c r="C47" s="3" t="s">
        <v>92</v>
      </c>
      <c r="D47" s="4" t="s">
        <v>259</v>
      </c>
    </row>
    <row r="48" spans="1:4">
      <c r="A48" s="1"/>
      <c r="B48" s="7"/>
      <c r="C48" s="3" t="s">
        <v>93</v>
      </c>
      <c r="D48" s="4" t="s">
        <v>260</v>
      </c>
    </row>
    <row r="49" spans="1:4" ht="48">
      <c r="A49" s="1"/>
      <c r="B49" s="7" t="s">
        <v>94</v>
      </c>
      <c r="C49" s="3" t="s">
        <v>95</v>
      </c>
      <c r="D49" s="4" t="s">
        <v>262</v>
      </c>
    </row>
    <row r="50" spans="1:4" ht="32">
      <c r="A50" s="1"/>
      <c r="B50" s="7"/>
      <c r="C50" s="3" t="s">
        <v>96</v>
      </c>
      <c r="D50" s="4" t="s">
        <v>261</v>
      </c>
    </row>
    <row r="51" spans="1:4">
      <c r="A51" s="1"/>
      <c r="B51" s="7"/>
      <c r="C51" s="3" t="s">
        <v>97</v>
      </c>
      <c r="D51" s="4" t="s">
        <v>98</v>
      </c>
    </row>
    <row r="52" spans="1:4">
      <c r="A52" s="1"/>
      <c r="B52" s="7"/>
      <c r="C52" s="3" t="s">
        <v>99</v>
      </c>
      <c r="D52" s="4" t="s">
        <v>100</v>
      </c>
    </row>
    <row r="53" spans="1:4" ht="32">
      <c r="A53" s="1"/>
      <c r="B53" s="7"/>
      <c r="C53" s="3" t="s">
        <v>101</v>
      </c>
      <c r="D53" s="4" t="s">
        <v>102</v>
      </c>
    </row>
    <row r="54" spans="1:4" ht="32">
      <c r="A54" s="1"/>
      <c r="B54" s="7"/>
      <c r="C54" s="3" t="s">
        <v>103</v>
      </c>
      <c r="D54" s="4" t="s">
        <v>104</v>
      </c>
    </row>
    <row r="55" spans="1:4">
      <c r="A55" s="1"/>
      <c r="B55" s="5" t="s">
        <v>105</v>
      </c>
      <c r="C55" s="3" t="s">
        <v>106</v>
      </c>
      <c r="D55" s="4" t="s">
        <v>107</v>
      </c>
    </row>
    <row r="56" spans="1:4">
      <c r="A56" s="1"/>
      <c r="B56" s="5"/>
      <c r="C56" s="3" t="s">
        <v>108</v>
      </c>
      <c r="D56" s="4" t="s">
        <v>109</v>
      </c>
    </row>
    <row r="57" spans="1:4">
      <c r="A57" s="1"/>
      <c r="B57" s="5"/>
      <c r="C57" s="3" t="s">
        <v>110</v>
      </c>
      <c r="D57" s="4" t="s">
        <v>111</v>
      </c>
    </row>
    <row r="58" spans="1:4">
      <c r="A58" s="1"/>
      <c r="B58" s="5"/>
      <c r="C58" s="3" t="s">
        <v>112</v>
      </c>
      <c r="D58" s="4" t="s">
        <v>113</v>
      </c>
    </row>
    <row r="59" spans="1:4">
      <c r="A59" s="1"/>
      <c r="B59" s="5"/>
      <c r="C59" s="3" t="s">
        <v>114</v>
      </c>
      <c r="D59" s="4" t="s">
        <v>115</v>
      </c>
    </row>
    <row r="60" spans="1:4">
      <c r="A60" s="1"/>
      <c r="B60" s="5"/>
      <c r="C60" s="3" t="s">
        <v>116</v>
      </c>
      <c r="D60" s="4" t="s">
        <v>117</v>
      </c>
    </row>
    <row r="61" spans="1:4">
      <c r="A61" s="1"/>
      <c r="B61" s="5"/>
      <c r="C61" s="3" t="s">
        <v>118</v>
      </c>
      <c r="D61" s="4" t="s">
        <v>119</v>
      </c>
    </row>
    <row r="62" spans="1:4">
      <c r="A62" s="1"/>
      <c r="B62" s="5"/>
      <c r="C62" s="3" t="s">
        <v>120</v>
      </c>
      <c r="D62" s="4" t="s">
        <v>121</v>
      </c>
    </row>
    <row r="63" spans="1:4">
      <c r="A63" s="1"/>
      <c r="B63" s="5"/>
      <c r="C63" s="3" t="s">
        <v>122</v>
      </c>
      <c r="D63" s="4" t="s">
        <v>123</v>
      </c>
    </row>
    <row r="64" spans="1:4">
      <c r="A64" s="1"/>
      <c r="B64" s="5"/>
      <c r="C64" s="3" t="s">
        <v>124</v>
      </c>
      <c r="D64" s="4" t="s">
        <v>125</v>
      </c>
    </row>
    <row r="65" spans="1:4">
      <c r="A65" s="1"/>
      <c r="B65" s="5"/>
      <c r="C65" s="3" t="s">
        <v>126</v>
      </c>
      <c r="D65" s="4" t="s">
        <v>127</v>
      </c>
    </row>
    <row r="66" spans="1:4" ht="32">
      <c r="A66" s="1" t="s">
        <v>128</v>
      </c>
      <c r="B66" s="7" t="s">
        <v>129</v>
      </c>
      <c r="C66" s="3" t="s">
        <v>130</v>
      </c>
      <c r="D66" s="4" t="s">
        <v>131</v>
      </c>
    </row>
    <row r="67" spans="1:4">
      <c r="A67" s="1"/>
      <c r="B67" s="7"/>
      <c r="C67" s="3" t="s">
        <v>132</v>
      </c>
      <c r="D67" s="4" t="s">
        <v>133</v>
      </c>
    </row>
    <row r="68" spans="1:4" ht="32">
      <c r="A68" s="1"/>
      <c r="B68" s="9" t="s">
        <v>134</v>
      </c>
      <c r="C68" s="3" t="s">
        <v>135</v>
      </c>
      <c r="D68" s="4" t="s">
        <v>136</v>
      </c>
    </row>
    <row r="69" spans="1:4" ht="32">
      <c r="A69" s="1"/>
      <c r="B69" s="5" t="s">
        <v>275</v>
      </c>
      <c r="C69" s="3" t="s">
        <v>137</v>
      </c>
      <c r="D69" s="4" t="s">
        <v>138</v>
      </c>
    </row>
    <row r="70" spans="1:4" ht="32">
      <c r="A70" s="1"/>
      <c r="B70" s="5"/>
      <c r="C70" s="3" t="s">
        <v>139</v>
      </c>
      <c r="D70" s="4" t="s">
        <v>140</v>
      </c>
    </row>
    <row r="71" spans="1:4" ht="32">
      <c r="A71" s="1"/>
      <c r="B71" s="5"/>
      <c r="C71" s="3" t="s">
        <v>141</v>
      </c>
      <c r="D71" s="4" t="s">
        <v>142</v>
      </c>
    </row>
    <row r="72" spans="1:4" ht="32">
      <c r="A72" s="1"/>
      <c r="B72" s="5" t="s">
        <v>143</v>
      </c>
      <c r="C72" s="3" t="s">
        <v>144</v>
      </c>
      <c r="D72" s="4" t="s">
        <v>145</v>
      </c>
    </row>
    <row r="73" spans="1:4">
      <c r="A73" s="1"/>
      <c r="B73" s="5"/>
      <c r="C73" s="3" t="s">
        <v>146</v>
      </c>
      <c r="D73" s="4" t="s">
        <v>147</v>
      </c>
    </row>
    <row r="74" spans="1:4">
      <c r="A74" s="1"/>
      <c r="B74" s="5"/>
      <c r="C74" s="3" t="s">
        <v>148</v>
      </c>
      <c r="D74" s="4" t="s">
        <v>149</v>
      </c>
    </row>
    <row r="75" spans="1:4" ht="32">
      <c r="A75" s="1"/>
      <c r="B75" s="5"/>
      <c r="C75" s="3" t="s">
        <v>150</v>
      </c>
      <c r="D75" s="4" t="s">
        <v>151</v>
      </c>
    </row>
    <row r="76" spans="1:4">
      <c r="A76" s="1"/>
      <c r="B76" s="5" t="s">
        <v>152</v>
      </c>
      <c r="C76" s="3" t="s">
        <v>153</v>
      </c>
      <c r="D76" s="4" t="s">
        <v>154</v>
      </c>
    </row>
    <row r="77" spans="1:4">
      <c r="A77" s="1"/>
      <c r="B77" s="5"/>
      <c r="C77" s="3" t="s">
        <v>155</v>
      </c>
      <c r="D77" s="4" t="s">
        <v>156</v>
      </c>
    </row>
    <row r="78" spans="1:4">
      <c r="A78" s="1"/>
      <c r="B78" s="5"/>
      <c r="C78" s="3" t="s">
        <v>157</v>
      </c>
      <c r="D78" s="4" t="s">
        <v>158</v>
      </c>
    </row>
    <row r="79" spans="1:4">
      <c r="A79" s="1"/>
      <c r="B79" s="5"/>
      <c r="C79" s="3" t="s">
        <v>159</v>
      </c>
      <c r="D79" s="4" t="s">
        <v>160</v>
      </c>
    </row>
    <row r="80" spans="1:4">
      <c r="A80" s="1"/>
      <c r="B80" s="5"/>
      <c r="C80" s="3" t="s">
        <v>161</v>
      </c>
      <c r="D80" s="4" t="s">
        <v>162</v>
      </c>
    </row>
    <row r="81" spans="1:4">
      <c r="A81" s="1"/>
      <c r="B81" s="5"/>
      <c r="C81" s="3" t="s">
        <v>163</v>
      </c>
      <c r="D81" s="4" t="s">
        <v>164</v>
      </c>
    </row>
    <row r="82" spans="1:4">
      <c r="A82" s="1"/>
      <c r="B82" s="5"/>
      <c r="C82" s="3" t="s">
        <v>165</v>
      </c>
      <c r="D82" s="4" t="s">
        <v>166</v>
      </c>
    </row>
    <row r="83" spans="1:4">
      <c r="A83" s="1"/>
      <c r="B83" s="5"/>
      <c r="C83" s="3" t="s">
        <v>167</v>
      </c>
      <c r="D83" s="4" t="s">
        <v>168</v>
      </c>
    </row>
    <row r="84" spans="1:4">
      <c r="A84" s="1"/>
      <c r="B84" s="5"/>
      <c r="C84" s="3" t="s">
        <v>169</v>
      </c>
      <c r="D84" s="4" t="s">
        <v>170</v>
      </c>
    </row>
    <row r="85" spans="1:4">
      <c r="A85" s="1"/>
      <c r="B85" s="5"/>
      <c r="C85" s="3" t="s">
        <v>171</v>
      </c>
      <c r="D85" s="4" t="s">
        <v>172</v>
      </c>
    </row>
    <row r="86" spans="1:4" ht="32">
      <c r="A86" s="1"/>
      <c r="B86" s="6" t="s">
        <v>173</v>
      </c>
      <c r="C86" s="3" t="s">
        <v>174</v>
      </c>
      <c r="D86" s="4" t="s">
        <v>175</v>
      </c>
    </row>
    <row r="87" spans="1:4" ht="48">
      <c r="A87" s="1" t="s">
        <v>176</v>
      </c>
      <c r="B87" s="5" t="s">
        <v>177</v>
      </c>
      <c r="C87" s="3" t="s">
        <v>178</v>
      </c>
      <c r="D87" s="4" t="s">
        <v>179</v>
      </c>
    </row>
    <row r="88" spans="1:4" ht="32">
      <c r="A88" s="1"/>
      <c r="B88" s="5"/>
      <c r="C88" s="3" t="s">
        <v>180</v>
      </c>
      <c r="D88" s="4" t="s">
        <v>181</v>
      </c>
    </row>
    <row r="89" spans="1:4" ht="32">
      <c r="A89" s="1"/>
      <c r="B89" s="5"/>
      <c r="C89" s="3" t="s">
        <v>182</v>
      </c>
      <c r="D89" s="4" t="s">
        <v>183</v>
      </c>
    </row>
    <row r="90" spans="1:4" ht="32">
      <c r="A90" s="1"/>
      <c r="B90" s="5"/>
      <c r="C90" s="3" t="s">
        <v>184</v>
      </c>
      <c r="D90" s="4" t="s">
        <v>185</v>
      </c>
    </row>
    <row r="91" spans="1:4" ht="32">
      <c r="A91" s="1"/>
      <c r="B91" s="5"/>
      <c r="C91" s="3" t="s">
        <v>186</v>
      </c>
      <c r="D91" s="4" t="s">
        <v>187</v>
      </c>
    </row>
    <row r="92" spans="1:4" ht="32">
      <c r="A92" s="1"/>
      <c r="B92" s="5" t="s">
        <v>188</v>
      </c>
      <c r="C92" s="3" t="s">
        <v>189</v>
      </c>
      <c r="D92" s="4" t="s">
        <v>264</v>
      </c>
    </row>
    <row r="93" spans="1:4">
      <c r="A93" s="1"/>
      <c r="B93" s="5"/>
      <c r="C93" s="3" t="s">
        <v>190</v>
      </c>
      <c r="D93" s="4" t="s">
        <v>263</v>
      </c>
    </row>
    <row r="94" spans="1:4">
      <c r="A94" s="1"/>
      <c r="B94" s="5"/>
      <c r="C94" s="3" t="s">
        <v>191</v>
      </c>
      <c r="D94" s="4" t="s">
        <v>192</v>
      </c>
    </row>
    <row r="95" spans="1:4">
      <c r="A95" s="1"/>
      <c r="B95" s="5"/>
      <c r="C95" s="3" t="s">
        <v>193</v>
      </c>
      <c r="D95" s="4" t="s">
        <v>194</v>
      </c>
    </row>
    <row r="96" spans="1:4">
      <c r="A96" s="1"/>
      <c r="B96" s="5"/>
      <c r="C96" s="3" t="s">
        <v>195</v>
      </c>
      <c r="D96" s="4" t="s">
        <v>196</v>
      </c>
    </row>
    <row r="97" spans="1:4">
      <c r="A97" s="1"/>
      <c r="B97" s="5"/>
      <c r="C97" s="3" t="s">
        <v>197</v>
      </c>
      <c r="D97" s="4" t="s">
        <v>198</v>
      </c>
    </row>
    <row r="98" spans="1:4">
      <c r="A98" s="1"/>
      <c r="B98" s="5"/>
      <c r="C98" s="3" t="s">
        <v>199</v>
      </c>
      <c r="D98" s="4" t="s">
        <v>200</v>
      </c>
    </row>
    <row r="99" spans="1:4">
      <c r="A99" s="1"/>
      <c r="B99" s="5"/>
      <c r="C99" s="3" t="s">
        <v>201</v>
      </c>
      <c r="D99" s="4" t="s">
        <v>202</v>
      </c>
    </row>
    <row r="100" spans="1:4" ht="32">
      <c r="A100" s="1" t="s">
        <v>203</v>
      </c>
      <c r="B100" s="7" t="s">
        <v>204</v>
      </c>
      <c r="C100" s="3" t="s">
        <v>205</v>
      </c>
      <c r="D100" s="4" t="s">
        <v>206</v>
      </c>
    </row>
    <row r="101" spans="1:4" ht="32">
      <c r="A101" s="1"/>
      <c r="B101" s="7"/>
      <c r="C101" s="3" t="s">
        <v>272</v>
      </c>
      <c r="D101" s="4" t="s">
        <v>207</v>
      </c>
    </row>
    <row r="102" spans="1:4" ht="32">
      <c r="A102" s="1"/>
      <c r="B102" s="7"/>
      <c r="C102" s="3" t="s">
        <v>273</v>
      </c>
      <c r="D102" s="4" t="s">
        <v>208</v>
      </c>
    </row>
    <row r="103" spans="1:4">
      <c r="A103" s="1"/>
      <c r="B103" s="7" t="s">
        <v>209</v>
      </c>
      <c r="C103" s="3" t="s">
        <v>210</v>
      </c>
      <c r="D103" s="4" t="s">
        <v>211</v>
      </c>
    </row>
    <row r="104" spans="1:4">
      <c r="A104" s="1"/>
      <c r="B104" s="7"/>
      <c r="C104" s="3" t="s">
        <v>212</v>
      </c>
      <c r="D104" s="4" t="s">
        <v>213</v>
      </c>
    </row>
    <row r="105" spans="1:4">
      <c r="A105" s="1"/>
      <c r="B105" s="7"/>
      <c r="C105" s="3" t="s">
        <v>214</v>
      </c>
      <c r="D105" s="4" t="s">
        <v>215</v>
      </c>
    </row>
    <row r="106" spans="1:4" ht="32">
      <c r="A106" s="1"/>
      <c r="B106" s="7" t="s">
        <v>216</v>
      </c>
      <c r="C106" s="3" t="s">
        <v>217</v>
      </c>
      <c r="D106" s="4" t="s">
        <v>218</v>
      </c>
    </row>
    <row r="107" spans="1:4" ht="32">
      <c r="A107" s="1"/>
      <c r="B107" s="7"/>
      <c r="C107" s="3" t="s">
        <v>219</v>
      </c>
      <c r="D107" s="4" t="s">
        <v>265</v>
      </c>
    </row>
    <row r="108" spans="1:4" ht="32">
      <c r="A108" s="1"/>
      <c r="B108" s="7"/>
      <c r="C108" s="3" t="s">
        <v>220</v>
      </c>
      <c r="D108" s="4" t="s">
        <v>221</v>
      </c>
    </row>
    <row r="109" spans="1:4" ht="32">
      <c r="A109" s="1"/>
      <c r="B109" s="7"/>
      <c r="C109" s="3" t="s">
        <v>222</v>
      </c>
      <c r="D109" s="4" t="s">
        <v>270</v>
      </c>
    </row>
    <row r="110" spans="1:4" ht="32">
      <c r="A110" s="1"/>
      <c r="B110" s="5" t="s">
        <v>276</v>
      </c>
      <c r="C110" s="3" t="s">
        <v>223</v>
      </c>
      <c r="D110" s="4" t="s">
        <v>224</v>
      </c>
    </row>
    <row r="111" spans="1:4">
      <c r="A111" s="1"/>
      <c r="B111" s="5"/>
      <c r="C111" s="3" t="s">
        <v>225</v>
      </c>
      <c r="D111" s="4" t="s">
        <v>266</v>
      </c>
    </row>
    <row r="112" spans="1:4">
      <c r="A112" s="1"/>
      <c r="B112" s="5"/>
      <c r="C112" s="3" t="s">
        <v>226</v>
      </c>
      <c r="D112" s="4" t="s">
        <v>227</v>
      </c>
    </row>
    <row r="113" spans="1:4">
      <c r="A113" s="1"/>
      <c r="B113" s="5"/>
      <c r="C113" s="3" t="s">
        <v>228</v>
      </c>
      <c r="D113" s="4" t="s">
        <v>229</v>
      </c>
    </row>
    <row r="114" spans="1:4">
      <c r="A114" s="1"/>
      <c r="B114" s="5"/>
      <c r="C114" s="3" t="s">
        <v>230</v>
      </c>
      <c r="D114" s="4" t="s">
        <v>231</v>
      </c>
    </row>
    <row r="115" spans="1:4">
      <c r="A115" s="1"/>
      <c r="B115" s="5"/>
      <c r="C115" s="3" t="s">
        <v>232</v>
      </c>
      <c r="D115" s="4" t="s">
        <v>233</v>
      </c>
    </row>
    <row r="116" spans="1:4" ht="32">
      <c r="A116" s="1" t="s">
        <v>234</v>
      </c>
      <c r="B116" s="5" t="s">
        <v>235</v>
      </c>
      <c r="C116" s="3" t="s">
        <v>236</v>
      </c>
      <c r="D116" s="4" t="s">
        <v>238</v>
      </c>
    </row>
    <row r="117" spans="1:4" ht="32">
      <c r="A117" s="1"/>
      <c r="B117" s="5"/>
      <c r="C117" s="3" t="s">
        <v>237</v>
      </c>
      <c r="D117" s="4" t="s">
        <v>240</v>
      </c>
    </row>
    <row r="118" spans="1:4" ht="32">
      <c r="A118" s="1"/>
      <c r="B118" s="5"/>
      <c r="C118" s="3" t="s">
        <v>239</v>
      </c>
      <c r="D118" s="4" t="s">
        <v>267</v>
      </c>
    </row>
    <row r="119" spans="1:4" ht="32">
      <c r="A119" s="1"/>
      <c r="B119" s="5"/>
      <c r="C119" s="3" t="s">
        <v>241</v>
      </c>
      <c r="D119" s="4" t="s">
        <v>243</v>
      </c>
    </row>
    <row r="120" spans="1:4">
      <c r="A120" s="1"/>
      <c r="B120" s="5"/>
      <c r="C120" s="3" t="s">
        <v>242</v>
      </c>
      <c r="D120" s="4" t="s">
        <v>268</v>
      </c>
    </row>
    <row r="121" spans="1:4" ht="32">
      <c r="A121" s="1"/>
      <c r="B121" s="5"/>
      <c r="C121" s="3" t="s">
        <v>244</v>
      </c>
      <c r="D121" s="13" t="s">
        <v>271</v>
      </c>
    </row>
    <row r="122" spans="1:4">
      <c r="A122" s="14"/>
      <c r="B122" s="15"/>
      <c r="C122" s="12">
        <v>120</v>
      </c>
      <c r="D122" s="14"/>
    </row>
  </sheetData>
  <mergeCells count="31">
    <mergeCell ref="A100:A115"/>
    <mergeCell ref="B100:B102"/>
    <mergeCell ref="B103:B105"/>
    <mergeCell ref="B106:B109"/>
    <mergeCell ref="B110:B115"/>
    <mergeCell ref="A116:A121"/>
    <mergeCell ref="B116:B121"/>
    <mergeCell ref="A66:A86"/>
    <mergeCell ref="B66:B67"/>
    <mergeCell ref="B69:B71"/>
    <mergeCell ref="B72:B75"/>
    <mergeCell ref="B76:B85"/>
    <mergeCell ref="A87:A99"/>
    <mergeCell ref="B87:B91"/>
    <mergeCell ref="B92:B99"/>
    <mergeCell ref="A25:A38"/>
    <mergeCell ref="B25:B28"/>
    <mergeCell ref="B30:B38"/>
    <mergeCell ref="A39:A65"/>
    <mergeCell ref="B39:B45"/>
    <mergeCell ref="B46:B48"/>
    <mergeCell ref="B49:B54"/>
    <mergeCell ref="B55:B65"/>
    <mergeCell ref="A2:A12"/>
    <mergeCell ref="B2:B9"/>
    <mergeCell ref="B10:B12"/>
    <mergeCell ref="A13:A24"/>
    <mergeCell ref="B13:B15"/>
    <mergeCell ref="B16:B17"/>
    <mergeCell ref="B18:B20"/>
    <mergeCell ref="B21:B24"/>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C883D-77BD-4687-97E0-3FC37A1E8A5A}">
  <dimension ref="A1:M143"/>
  <sheetViews>
    <sheetView tabSelected="1" topLeftCell="A25" workbookViewId="0">
      <selection activeCell="B42" sqref="B42"/>
    </sheetView>
  </sheetViews>
  <sheetFormatPr defaultRowHeight="17"/>
  <cols>
    <col min="2" max="2" width="35.9140625" bestFit="1" customWidth="1"/>
    <col min="3" max="3" width="9.1640625" style="34" bestFit="1" customWidth="1"/>
    <col min="4" max="6" width="8.75" style="34" bestFit="1" customWidth="1"/>
    <col min="7" max="9" width="0" hidden="1" customWidth="1"/>
    <col min="10" max="12" width="8.6640625" style="32"/>
    <col min="13" max="13" width="13.08203125" style="35" customWidth="1"/>
  </cols>
  <sheetData>
    <row r="1" spans="1:13">
      <c r="A1" s="16"/>
      <c r="B1" s="17" t="s">
        <v>278</v>
      </c>
      <c r="C1" s="18" t="s">
        <v>279</v>
      </c>
      <c r="D1" s="18" t="s">
        <v>280</v>
      </c>
      <c r="E1" s="18" t="s">
        <v>281</v>
      </c>
      <c r="F1" s="18" t="s">
        <v>282</v>
      </c>
      <c r="G1" s="19" t="s">
        <v>283</v>
      </c>
      <c r="H1" s="19" t="s">
        <v>284</v>
      </c>
      <c r="I1" s="19" t="s">
        <v>285</v>
      </c>
      <c r="J1" s="20" t="s">
        <v>286</v>
      </c>
      <c r="K1" s="20" t="s">
        <v>287</v>
      </c>
      <c r="L1" s="19" t="s">
        <v>285</v>
      </c>
      <c r="M1" s="21" t="s">
        <v>288</v>
      </c>
    </row>
    <row r="2" spans="1:13">
      <c r="A2" s="22" t="s">
        <v>289</v>
      </c>
      <c r="B2" s="22" t="s">
        <v>290</v>
      </c>
      <c r="C2" s="23">
        <v>455</v>
      </c>
      <c r="D2" s="23">
        <v>381</v>
      </c>
      <c r="E2" s="23">
        <v>57</v>
      </c>
      <c r="F2" s="23">
        <v>17</v>
      </c>
      <c r="G2" s="22"/>
      <c r="H2" s="22" t="s">
        <v>289</v>
      </c>
      <c r="I2" s="22" t="s">
        <v>290</v>
      </c>
      <c r="J2" s="24">
        <v>0.82350000000000001</v>
      </c>
      <c r="K2" s="24">
        <v>0.98870000000000002</v>
      </c>
      <c r="L2" s="24">
        <v>0.90610000000000002</v>
      </c>
      <c r="M2" s="25">
        <f>AVERAGE(L2:L7)</f>
        <v>0.84473333333333345</v>
      </c>
    </row>
    <row r="3" spans="1:13">
      <c r="A3" s="22" t="s">
        <v>291</v>
      </c>
      <c r="B3" s="22" t="s">
        <v>292</v>
      </c>
      <c r="C3" s="23">
        <v>315</v>
      </c>
      <c r="D3" s="23">
        <v>220</v>
      </c>
      <c r="E3" s="23">
        <v>36</v>
      </c>
      <c r="F3" s="23">
        <v>59</v>
      </c>
      <c r="G3" s="22"/>
      <c r="H3" s="22" t="s">
        <v>291</v>
      </c>
      <c r="I3" s="22" t="s">
        <v>292</v>
      </c>
      <c r="J3" s="24">
        <v>0.96609999999999996</v>
      </c>
      <c r="K3" s="24">
        <v>0.99629999999999996</v>
      </c>
      <c r="L3" s="24">
        <v>0.98119999999999996</v>
      </c>
      <c r="M3" s="25"/>
    </row>
    <row r="4" spans="1:13">
      <c r="A4" s="22" t="s">
        <v>293</v>
      </c>
      <c r="B4" s="22" t="s">
        <v>294</v>
      </c>
      <c r="C4" s="23">
        <v>197</v>
      </c>
      <c r="D4" s="23">
        <v>148</v>
      </c>
      <c r="E4" s="23">
        <v>29</v>
      </c>
      <c r="F4" s="23">
        <v>20</v>
      </c>
      <c r="G4" s="22"/>
      <c r="H4" s="22" t="s">
        <v>293</v>
      </c>
      <c r="I4" s="22" t="s">
        <v>294</v>
      </c>
      <c r="J4" s="24">
        <v>0.6</v>
      </c>
      <c r="K4" s="24">
        <v>0.99009999999999998</v>
      </c>
      <c r="L4" s="24">
        <v>0.79500000000000004</v>
      </c>
      <c r="M4" s="25"/>
    </row>
    <row r="5" spans="1:13">
      <c r="A5" s="22" t="s">
        <v>295</v>
      </c>
      <c r="B5" s="22" t="s">
        <v>296</v>
      </c>
      <c r="C5" s="23">
        <v>573</v>
      </c>
      <c r="D5" s="23">
        <v>499</v>
      </c>
      <c r="E5" s="23">
        <v>61</v>
      </c>
      <c r="F5" s="23">
        <v>13</v>
      </c>
      <c r="G5" s="22"/>
      <c r="H5" s="22" t="s">
        <v>295</v>
      </c>
      <c r="I5" s="22" t="s">
        <v>296</v>
      </c>
      <c r="J5" s="24">
        <v>0.69230000000000003</v>
      </c>
      <c r="K5" s="24">
        <v>0.99960000000000004</v>
      </c>
      <c r="L5" s="24">
        <v>0.84589999999999999</v>
      </c>
      <c r="M5" s="25"/>
    </row>
    <row r="6" spans="1:13">
      <c r="A6" s="22" t="s">
        <v>297</v>
      </c>
      <c r="B6" s="22" t="s">
        <v>298</v>
      </c>
      <c r="C6" s="23">
        <v>1018</v>
      </c>
      <c r="D6" s="23">
        <v>575</v>
      </c>
      <c r="E6" s="23">
        <v>328</v>
      </c>
      <c r="F6" s="23">
        <v>115</v>
      </c>
      <c r="G6" s="22"/>
      <c r="H6" s="22" t="s">
        <v>297</v>
      </c>
      <c r="I6" s="22" t="s">
        <v>298</v>
      </c>
      <c r="J6" s="24">
        <v>0.67830000000000001</v>
      </c>
      <c r="K6" s="24">
        <v>0.89549999999999996</v>
      </c>
      <c r="L6" s="24">
        <v>0.78690000000000004</v>
      </c>
      <c r="M6" s="25"/>
    </row>
    <row r="7" spans="1:13">
      <c r="A7" s="22" t="s">
        <v>299</v>
      </c>
      <c r="B7" s="22" t="s">
        <v>300</v>
      </c>
      <c r="C7" s="23">
        <v>8718</v>
      </c>
      <c r="D7" s="23">
        <v>4732</v>
      </c>
      <c r="E7" s="23">
        <v>1973</v>
      </c>
      <c r="F7" s="23">
        <v>2013</v>
      </c>
      <c r="G7" s="22"/>
      <c r="H7" s="22" t="s">
        <v>299</v>
      </c>
      <c r="I7" s="22" t="s">
        <v>300</v>
      </c>
      <c r="J7" s="24">
        <v>0.97119999999999995</v>
      </c>
      <c r="K7" s="24">
        <v>0.53539999999999999</v>
      </c>
      <c r="L7" s="24">
        <v>0.75329999999999997</v>
      </c>
      <c r="M7" s="25"/>
    </row>
    <row r="8" spans="1:13">
      <c r="A8" s="22" t="s">
        <v>301</v>
      </c>
      <c r="B8" s="22" t="s">
        <v>302</v>
      </c>
      <c r="C8" s="23">
        <v>8831</v>
      </c>
      <c r="D8" s="23">
        <v>4782</v>
      </c>
      <c r="E8" s="23">
        <v>2035</v>
      </c>
      <c r="F8" s="23">
        <v>2014</v>
      </c>
      <c r="G8" s="22"/>
      <c r="H8" s="22" t="s">
        <v>301</v>
      </c>
      <c r="I8" s="22" t="s">
        <v>302</v>
      </c>
      <c r="J8" s="24">
        <v>0.98460000000000003</v>
      </c>
      <c r="K8" s="24">
        <v>0.59260000000000002</v>
      </c>
      <c r="L8" s="24">
        <v>0.78859999999999997</v>
      </c>
      <c r="M8" s="25">
        <f>AVERAGE(L8:L10)</f>
        <v>0.85773333333333335</v>
      </c>
    </row>
    <row r="9" spans="1:13">
      <c r="A9" s="22" t="s">
        <v>303</v>
      </c>
      <c r="B9" s="22" t="s">
        <v>304</v>
      </c>
      <c r="C9" s="23">
        <v>1142</v>
      </c>
      <c r="D9" s="23">
        <v>769</v>
      </c>
      <c r="E9" s="23">
        <v>263</v>
      </c>
      <c r="F9" s="23">
        <v>110</v>
      </c>
      <c r="G9" s="22"/>
      <c r="H9" s="22" t="s">
        <v>303</v>
      </c>
      <c r="I9" s="22" t="s">
        <v>304</v>
      </c>
      <c r="J9" s="24">
        <v>0.77270000000000005</v>
      </c>
      <c r="K9" s="24">
        <v>0.96699999999999997</v>
      </c>
      <c r="L9" s="24">
        <v>0.86990000000000001</v>
      </c>
      <c r="M9" s="25"/>
    </row>
    <row r="10" spans="1:13">
      <c r="A10" s="22" t="s">
        <v>305</v>
      </c>
      <c r="B10" s="22" t="s">
        <v>306</v>
      </c>
      <c r="C10" s="23">
        <v>654</v>
      </c>
      <c r="D10" s="23">
        <v>469</v>
      </c>
      <c r="E10" s="23">
        <v>79</v>
      </c>
      <c r="F10" s="23">
        <v>106</v>
      </c>
      <c r="G10" s="22"/>
      <c r="H10" s="22" t="s">
        <v>305</v>
      </c>
      <c r="I10" s="22" t="s">
        <v>306</v>
      </c>
      <c r="J10" s="24">
        <v>0.85850000000000004</v>
      </c>
      <c r="K10" s="24">
        <v>0.9708</v>
      </c>
      <c r="L10" s="24">
        <v>0.91469999999999996</v>
      </c>
      <c r="M10" s="25"/>
    </row>
    <row r="11" spans="1:13">
      <c r="A11" s="22" t="s">
        <v>307</v>
      </c>
      <c r="B11" s="22" t="s">
        <v>308</v>
      </c>
      <c r="C11" s="23">
        <v>1904</v>
      </c>
      <c r="D11" s="23">
        <v>955</v>
      </c>
      <c r="E11" s="23">
        <v>536</v>
      </c>
      <c r="F11" s="23">
        <v>413</v>
      </c>
      <c r="G11" s="22"/>
      <c r="H11" s="22" t="s">
        <v>307</v>
      </c>
      <c r="I11" s="22" t="s">
        <v>308</v>
      </c>
      <c r="J11" s="24">
        <v>0.83289999999999997</v>
      </c>
      <c r="K11" s="24">
        <v>0.93289999999999995</v>
      </c>
      <c r="L11" s="24">
        <v>0.88290000000000002</v>
      </c>
      <c r="M11" s="25">
        <f>AVERAGE(L11:L14)</f>
        <v>0.85035000000000005</v>
      </c>
    </row>
    <row r="12" spans="1:13">
      <c r="A12" s="22" t="s">
        <v>309</v>
      </c>
      <c r="B12" s="22" t="s">
        <v>310</v>
      </c>
      <c r="C12" s="23">
        <v>1774</v>
      </c>
      <c r="D12" s="23">
        <v>988</v>
      </c>
      <c r="E12" s="23">
        <v>442</v>
      </c>
      <c r="F12" s="23">
        <v>344</v>
      </c>
      <c r="G12" s="22"/>
      <c r="H12" s="22" t="s">
        <v>309</v>
      </c>
      <c r="I12" s="22" t="s">
        <v>310</v>
      </c>
      <c r="J12" s="24">
        <v>0.78779999999999994</v>
      </c>
      <c r="K12" s="24">
        <v>0.86099999999999999</v>
      </c>
      <c r="L12" s="24">
        <v>0.82440000000000002</v>
      </c>
      <c r="M12" s="25"/>
    </row>
    <row r="13" spans="1:13">
      <c r="A13" s="22" t="s">
        <v>311</v>
      </c>
      <c r="B13" s="22" t="s">
        <v>312</v>
      </c>
      <c r="C13" s="23">
        <v>2138</v>
      </c>
      <c r="D13" s="23">
        <v>1203</v>
      </c>
      <c r="E13" s="23">
        <v>488</v>
      </c>
      <c r="F13" s="23">
        <v>447</v>
      </c>
      <c r="G13" s="22"/>
      <c r="H13" s="22" t="s">
        <v>311</v>
      </c>
      <c r="I13" s="22" t="s">
        <v>312</v>
      </c>
      <c r="J13" s="24">
        <v>0.86799999999999999</v>
      </c>
      <c r="K13" s="24">
        <v>0.76139999999999997</v>
      </c>
      <c r="L13" s="24">
        <v>0.81469999999999998</v>
      </c>
      <c r="M13" s="25"/>
    </row>
    <row r="14" spans="1:13">
      <c r="A14" s="22" t="s">
        <v>313</v>
      </c>
      <c r="B14" s="22" t="s">
        <v>314</v>
      </c>
      <c r="C14" s="23">
        <v>404</v>
      </c>
      <c r="D14" s="23">
        <v>342</v>
      </c>
      <c r="E14" s="23">
        <v>40</v>
      </c>
      <c r="F14" s="23">
        <v>22</v>
      </c>
      <c r="G14" s="22"/>
      <c r="H14" s="22" t="s">
        <v>313</v>
      </c>
      <c r="I14" s="22" t="s">
        <v>314</v>
      </c>
      <c r="J14" s="24">
        <v>0.77270000000000005</v>
      </c>
      <c r="K14" s="24">
        <v>0.98619999999999997</v>
      </c>
      <c r="L14" s="24">
        <v>0.87939999999999996</v>
      </c>
      <c r="M14" s="25"/>
    </row>
    <row r="15" spans="1:13">
      <c r="A15" s="22" t="s">
        <v>315</v>
      </c>
      <c r="B15" s="22" t="s">
        <v>316</v>
      </c>
      <c r="C15" s="23">
        <v>3138</v>
      </c>
      <c r="D15" s="23">
        <v>1750</v>
      </c>
      <c r="E15" s="23">
        <v>749</v>
      </c>
      <c r="F15" s="23">
        <v>639</v>
      </c>
      <c r="G15" s="22"/>
      <c r="H15" s="22" t="s">
        <v>315</v>
      </c>
      <c r="I15" s="22" t="s">
        <v>316</v>
      </c>
      <c r="J15" s="24">
        <v>0.99060000000000004</v>
      </c>
      <c r="K15" s="24">
        <v>0.9355</v>
      </c>
      <c r="L15" s="24">
        <v>0.96299999999999997</v>
      </c>
      <c r="M15" s="25">
        <f>AVERAGE(L15:L17)</f>
        <v>0.94776666666666676</v>
      </c>
    </row>
    <row r="16" spans="1:13">
      <c r="A16" s="22" t="s">
        <v>317</v>
      </c>
      <c r="B16" s="22" t="s">
        <v>318</v>
      </c>
      <c r="C16" s="23">
        <v>3577</v>
      </c>
      <c r="D16" s="23">
        <v>2080</v>
      </c>
      <c r="E16" s="23">
        <v>773</v>
      </c>
      <c r="F16" s="23">
        <v>724</v>
      </c>
      <c r="G16" s="22"/>
      <c r="H16" s="22" t="s">
        <v>317</v>
      </c>
      <c r="I16" s="22" t="s">
        <v>318</v>
      </c>
      <c r="J16" s="24">
        <v>0.98480000000000001</v>
      </c>
      <c r="K16" s="24">
        <v>0.91930000000000001</v>
      </c>
      <c r="L16" s="24">
        <v>0.95199999999999996</v>
      </c>
      <c r="M16" s="25"/>
    </row>
    <row r="17" spans="1:13">
      <c r="A17" s="22" t="s">
        <v>319</v>
      </c>
      <c r="B17" s="22" t="s">
        <v>320</v>
      </c>
      <c r="C17" s="23">
        <v>3351</v>
      </c>
      <c r="D17" s="23">
        <v>1688</v>
      </c>
      <c r="E17" s="23">
        <v>853</v>
      </c>
      <c r="F17" s="23">
        <v>810</v>
      </c>
      <c r="G17" s="22"/>
      <c r="H17" s="22" t="s">
        <v>319</v>
      </c>
      <c r="I17" s="22" t="s">
        <v>320</v>
      </c>
      <c r="J17" s="24">
        <v>0.97409999999999997</v>
      </c>
      <c r="K17" s="24">
        <v>0.88260000000000005</v>
      </c>
      <c r="L17" s="24">
        <v>0.92830000000000001</v>
      </c>
      <c r="M17" s="25"/>
    </row>
    <row r="18" spans="1:13">
      <c r="A18" s="22" t="s">
        <v>321</v>
      </c>
      <c r="B18" s="22" t="s">
        <v>322</v>
      </c>
      <c r="C18" s="23">
        <v>410</v>
      </c>
      <c r="D18" s="23">
        <v>323</v>
      </c>
      <c r="E18" s="23">
        <v>37</v>
      </c>
      <c r="F18" s="23">
        <v>50</v>
      </c>
      <c r="G18" s="22"/>
      <c r="H18" s="22" t="s">
        <v>321</v>
      </c>
      <c r="I18" s="22" t="s">
        <v>322</v>
      </c>
      <c r="J18" s="24">
        <v>0.66</v>
      </c>
      <c r="K18" s="24">
        <v>0.98860000000000003</v>
      </c>
      <c r="L18" s="24">
        <v>0.82430000000000003</v>
      </c>
      <c r="M18" s="25">
        <f>AVERAGE(L18:L23)</f>
        <v>0.78953333333333331</v>
      </c>
    </row>
    <row r="19" spans="1:13">
      <c r="A19" s="22" t="s">
        <v>323</v>
      </c>
      <c r="B19" s="22" t="s">
        <v>324</v>
      </c>
      <c r="C19" s="23">
        <v>467</v>
      </c>
      <c r="D19" s="23">
        <v>405</v>
      </c>
      <c r="E19" s="23">
        <v>29</v>
      </c>
      <c r="F19" s="23">
        <v>33</v>
      </c>
      <c r="G19" s="22"/>
      <c r="H19" s="22" t="s">
        <v>323</v>
      </c>
      <c r="I19" s="22" t="s">
        <v>324</v>
      </c>
      <c r="J19" s="24">
        <v>0.75760000000000005</v>
      </c>
      <c r="K19" s="24">
        <v>0.99029999999999996</v>
      </c>
      <c r="L19" s="24">
        <v>0.87390000000000001</v>
      </c>
      <c r="M19" s="25"/>
    </row>
    <row r="20" spans="1:13">
      <c r="A20" s="22" t="s">
        <v>325</v>
      </c>
      <c r="B20" s="22" t="s">
        <v>326</v>
      </c>
      <c r="C20" s="23">
        <v>322</v>
      </c>
      <c r="D20" s="23">
        <v>227</v>
      </c>
      <c r="E20" s="23">
        <v>44</v>
      </c>
      <c r="F20" s="23">
        <v>51</v>
      </c>
      <c r="G20" s="22"/>
      <c r="H20" s="22" t="s">
        <v>325</v>
      </c>
      <c r="I20" s="22" t="s">
        <v>326</v>
      </c>
      <c r="J20" s="24">
        <v>7.8399999999999997E-2</v>
      </c>
      <c r="K20" s="24">
        <v>0.9627</v>
      </c>
      <c r="L20" s="24">
        <v>0.52059999999999995</v>
      </c>
      <c r="M20" s="25"/>
    </row>
    <row r="21" spans="1:13">
      <c r="A21" s="22" t="s">
        <v>327</v>
      </c>
      <c r="B21" s="22" t="s">
        <v>328</v>
      </c>
      <c r="C21" s="23">
        <v>1021</v>
      </c>
      <c r="D21" s="23">
        <v>482</v>
      </c>
      <c r="E21" s="23">
        <v>232</v>
      </c>
      <c r="F21" s="23">
        <v>307</v>
      </c>
      <c r="G21" s="22"/>
      <c r="H21" s="22" t="s">
        <v>327</v>
      </c>
      <c r="I21" s="22" t="s">
        <v>328</v>
      </c>
      <c r="J21" s="24">
        <v>0.76549999999999996</v>
      </c>
      <c r="K21" s="24">
        <v>0.90149999999999997</v>
      </c>
      <c r="L21" s="24">
        <v>0.83350000000000002</v>
      </c>
      <c r="M21" s="25"/>
    </row>
    <row r="22" spans="1:13">
      <c r="A22" s="22" t="s">
        <v>329</v>
      </c>
      <c r="B22" s="22" t="s">
        <v>330</v>
      </c>
      <c r="C22" s="23">
        <v>231</v>
      </c>
      <c r="D22" s="23">
        <v>196</v>
      </c>
      <c r="E22" s="23">
        <v>13</v>
      </c>
      <c r="F22" s="23">
        <v>22</v>
      </c>
      <c r="G22" s="22"/>
      <c r="H22" s="22" t="s">
        <v>329</v>
      </c>
      <c r="I22" s="22" t="s">
        <v>330</v>
      </c>
      <c r="J22" s="24">
        <v>0.59089999999999998</v>
      </c>
      <c r="K22" s="24">
        <v>0.99119999999999997</v>
      </c>
      <c r="L22" s="24">
        <v>0.79110000000000003</v>
      </c>
      <c r="M22" s="25"/>
    </row>
    <row r="23" spans="1:13">
      <c r="A23" s="22" t="s">
        <v>331</v>
      </c>
      <c r="B23" s="22" t="s">
        <v>332</v>
      </c>
      <c r="C23" s="23">
        <v>293</v>
      </c>
      <c r="D23" s="23">
        <v>182</v>
      </c>
      <c r="E23" s="23">
        <v>56</v>
      </c>
      <c r="F23" s="23">
        <v>55</v>
      </c>
      <c r="G23" s="22"/>
      <c r="H23" s="22" t="s">
        <v>331</v>
      </c>
      <c r="I23" s="22" t="s">
        <v>332</v>
      </c>
      <c r="J23" s="24">
        <v>0.8</v>
      </c>
      <c r="K23" s="24">
        <v>0.98770000000000002</v>
      </c>
      <c r="L23" s="24">
        <v>0.89380000000000004</v>
      </c>
      <c r="M23" s="25"/>
    </row>
    <row r="24" spans="1:13">
      <c r="A24" s="22" t="s">
        <v>333</v>
      </c>
      <c r="B24" s="22" t="s">
        <v>334</v>
      </c>
      <c r="C24" s="23">
        <v>754</v>
      </c>
      <c r="D24" s="23">
        <v>591</v>
      </c>
      <c r="E24" s="23">
        <v>112</v>
      </c>
      <c r="F24" s="23">
        <v>51</v>
      </c>
      <c r="G24" s="22"/>
      <c r="H24" s="22" t="s">
        <v>333</v>
      </c>
      <c r="I24" s="22" t="s">
        <v>334</v>
      </c>
      <c r="J24" s="24">
        <v>0.80389999999999995</v>
      </c>
      <c r="K24" s="24">
        <v>0.97929999999999995</v>
      </c>
      <c r="L24" s="24">
        <v>0.89159999999999995</v>
      </c>
      <c r="M24" s="26">
        <f>AVERAGE(L24)</f>
        <v>0.89159999999999995</v>
      </c>
    </row>
    <row r="25" spans="1:13">
      <c r="A25" s="22" t="s">
        <v>335</v>
      </c>
      <c r="B25" s="22" t="s">
        <v>336</v>
      </c>
      <c r="C25" s="23">
        <v>1156</v>
      </c>
      <c r="D25" s="23">
        <v>543</v>
      </c>
      <c r="E25" s="23">
        <v>255</v>
      </c>
      <c r="F25" s="23">
        <v>358</v>
      </c>
      <c r="G25" s="22"/>
      <c r="H25" s="22" t="s">
        <v>335</v>
      </c>
      <c r="I25" s="22" t="s">
        <v>336</v>
      </c>
      <c r="J25" s="24">
        <v>0.69550000000000001</v>
      </c>
      <c r="K25" s="24">
        <v>0.8054</v>
      </c>
      <c r="L25" s="24">
        <v>0.75049999999999994</v>
      </c>
      <c r="M25" s="25">
        <f>AVERAGE(L25:L27)</f>
        <v>0.86376666666666668</v>
      </c>
    </row>
    <row r="26" spans="1:13">
      <c r="A26" s="22" t="s">
        <v>337</v>
      </c>
      <c r="B26" s="22" t="s">
        <v>338</v>
      </c>
      <c r="C26" s="23">
        <v>1209</v>
      </c>
      <c r="D26" s="23">
        <v>771</v>
      </c>
      <c r="E26" s="23">
        <v>202</v>
      </c>
      <c r="F26" s="23">
        <v>236</v>
      </c>
      <c r="G26" s="22"/>
      <c r="H26" s="22" t="s">
        <v>337</v>
      </c>
      <c r="I26" s="22" t="s">
        <v>338</v>
      </c>
      <c r="J26" s="24">
        <v>0.94920000000000004</v>
      </c>
      <c r="K26" s="24">
        <v>0.98570000000000002</v>
      </c>
      <c r="L26" s="24">
        <v>0.96740000000000004</v>
      </c>
      <c r="M26" s="25"/>
    </row>
    <row r="27" spans="1:13">
      <c r="A27" s="22" t="s">
        <v>339</v>
      </c>
      <c r="B27" s="22" t="s">
        <v>340</v>
      </c>
      <c r="C27" s="23">
        <v>757</v>
      </c>
      <c r="D27" s="23">
        <v>487</v>
      </c>
      <c r="E27" s="23">
        <v>120</v>
      </c>
      <c r="F27" s="23">
        <v>150</v>
      </c>
      <c r="G27" s="22"/>
      <c r="H27" s="22" t="s">
        <v>339</v>
      </c>
      <c r="I27" s="22" t="s">
        <v>340</v>
      </c>
      <c r="J27" s="24">
        <v>0.79330000000000001</v>
      </c>
      <c r="K27" s="24">
        <v>0.95350000000000001</v>
      </c>
      <c r="L27" s="24">
        <v>0.87339999999999995</v>
      </c>
      <c r="M27" s="25"/>
    </row>
    <row r="28" spans="1:13">
      <c r="A28" s="22" t="s">
        <v>341</v>
      </c>
      <c r="B28" s="22" t="s">
        <v>342</v>
      </c>
      <c r="C28" s="23">
        <v>4130</v>
      </c>
      <c r="D28" s="23">
        <v>2154</v>
      </c>
      <c r="E28" s="23">
        <v>986</v>
      </c>
      <c r="F28" s="23">
        <v>990</v>
      </c>
      <c r="G28" s="22"/>
      <c r="H28" s="22" t="s">
        <v>341</v>
      </c>
      <c r="I28" s="22" t="s">
        <v>342</v>
      </c>
      <c r="J28" s="24">
        <v>0.93430000000000002</v>
      </c>
      <c r="K28" s="24">
        <v>0.74409999999999998</v>
      </c>
      <c r="L28" s="24">
        <v>0.83919999999999995</v>
      </c>
      <c r="M28" s="25">
        <f>AVERAGE(L28:L35)</f>
        <v>0.85636249999999992</v>
      </c>
    </row>
    <row r="29" spans="1:13">
      <c r="A29" s="22" t="s">
        <v>343</v>
      </c>
      <c r="B29" s="22" t="s">
        <v>344</v>
      </c>
      <c r="C29" s="23">
        <v>649</v>
      </c>
      <c r="D29" s="23">
        <v>535</v>
      </c>
      <c r="E29" s="23">
        <v>58</v>
      </c>
      <c r="F29" s="23">
        <v>56</v>
      </c>
      <c r="G29" s="22"/>
      <c r="H29" s="22" t="s">
        <v>343</v>
      </c>
      <c r="I29" s="22" t="s">
        <v>344</v>
      </c>
      <c r="J29" s="24">
        <v>0.91069999999999995</v>
      </c>
      <c r="K29" s="24">
        <v>0.98839999999999995</v>
      </c>
      <c r="L29" s="24">
        <v>0.94950000000000001</v>
      </c>
      <c r="M29" s="25"/>
    </row>
    <row r="30" spans="1:13">
      <c r="A30" s="22" t="s">
        <v>345</v>
      </c>
      <c r="B30" s="22" t="s">
        <v>346</v>
      </c>
      <c r="C30" s="23">
        <v>863</v>
      </c>
      <c r="D30" s="23">
        <v>564</v>
      </c>
      <c r="E30" s="23">
        <v>141</v>
      </c>
      <c r="F30" s="23">
        <v>158</v>
      </c>
      <c r="G30" s="22"/>
      <c r="H30" s="22" t="s">
        <v>345</v>
      </c>
      <c r="I30" s="22" t="s">
        <v>346</v>
      </c>
      <c r="J30" s="24">
        <v>0.81010000000000004</v>
      </c>
      <c r="K30" s="24">
        <v>0.93959999999999999</v>
      </c>
      <c r="L30" s="24">
        <v>0.87490000000000001</v>
      </c>
      <c r="M30" s="25"/>
    </row>
    <row r="31" spans="1:13">
      <c r="A31" s="22" t="s">
        <v>347</v>
      </c>
      <c r="B31" s="22" t="s">
        <v>348</v>
      </c>
      <c r="C31" s="23">
        <v>331</v>
      </c>
      <c r="D31" s="23">
        <v>228</v>
      </c>
      <c r="E31" s="23">
        <v>35</v>
      </c>
      <c r="F31" s="23">
        <v>68</v>
      </c>
      <c r="G31" s="22"/>
      <c r="H31" s="22" t="s">
        <v>347</v>
      </c>
      <c r="I31" s="22" t="s">
        <v>348</v>
      </c>
      <c r="J31" s="24">
        <v>0.85289999999999999</v>
      </c>
      <c r="K31" s="24">
        <v>0.99309999999999998</v>
      </c>
      <c r="L31" s="24">
        <v>0.92300000000000004</v>
      </c>
      <c r="M31" s="25"/>
    </row>
    <row r="32" spans="1:13">
      <c r="A32" s="22" t="s">
        <v>349</v>
      </c>
      <c r="B32" s="22" t="s">
        <v>350</v>
      </c>
      <c r="C32" s="23">
        <v>1166</v>
      </c>
      <c r="D32" s="23">
        <v>681</v>
      </c>
      <c r="E32" s="23">
        <v>251</v>
      </c>
      <c r="F32" s="23">
        <v>234</v>
      </c>
      <c r="G32" s="22"/>
      <c r="H32" s="22" t="s">
        <v>349</v>
      </c>
      <c r="I32" s="22" t="s">
        <v>350</v>
      </c>
      <c r="J32" s="24">
        <v>0.66669999999999996</v>
      </c>
      <c r="K32" s="24">
        <v>0.87629999999999997</v>
      </c>
      <c r="L32" s="24">
        <v>0.77149999999999996</v>
      </c>
      <c r="M32" s="25"/>
    </row>
    <row r="33" spans="1:13">
      <c r="A33" s="22" t="s">
        <v>351</v>
      </c>
      <c r="B33" s="22" t="s">
        <v>352</v>
      </c>
      <c r="C33" s="23">
        <v>490</v>
      </c>
      <c r="D33" s="23">
        <v>309</v>
      </c>
      <c r="E33" s="23">
        <v>107</v>
      </c>
      <c r="F33" s="23">
        <v>74</v>
      </c>
      <c r="G33" s="22"/>
      <c r="H33" s="22" t="s">
        <v>351</v>
      </c>
      <c r="I33" s="22" t="s">
        <v>352</v>
      </c>
      <c r="J33" s="24">
        <v>0.70269999999999999</v>
      </c>
      <c r="K33" s="24">
        <v>0.98960000000000004</v>
      </c>
      <c r="L33" s="24">
        <v>0.84609999999999996</v>
      </c>
      <c r="M33" s="25"/>
    </row>
    <row r="34" spans="1:13">
      <c r="A34" s="22" t="s">
        <v>353</v>
      </c>
      <c r="B34" s="22" t="s">
        <v>354</v>
      </c>
      <c r="C34" s="23">
        <v>1718</v>
      </c>
      <c r="D34" s="23">
        <v>1004</v>
      </c>
      <c r="E34" s="23">
        <v>359</v>
      </c>
      <c r="F34" s="23">
        <v>355</v>
      </c>
      <c r="G34" s="22"/>
      <c r="H34" s="22" t="s">
        <v>353</v>
      </c>
      <c r="I34" s="22" t="s">
        <v>354</v>
      </c>
      <c r="J34" s="24">
        <v>0.79149999999999998</v>
      </c>
      <c r="K34" s="24">
        <v>0.90749999999999997</v>
      </c>
      <c r="L34" s="24">
        <v>0.84950000000000003</v>
      </c>
      <c r="M34" s="25"/>
    </row>
    <row r="35" spans="1:13">
      <c r="A35" s="22" t="s">
        <v>355</v>
      </c>
      <c r="B35" s="22" t="s">
        <v>356</v>
      </c>
      <c r="C35" s="23">
        <v>217</v>
      </c>
      <c r="D35" s="23">
        <v>163</v>
      </c>
      <c r="E35" s="23">
        <v>34</v>
      </c>
      <c r="F35" s="23">
        <v>20</v>
      </c>
      <c r="G35" s="22"/>
      <c r="H35" s="22" t="s">
        <v>355</v>
      </c>
      <c r="I35" s="22" t="s">
        <v>356</v>
      </c>
      <c r="J35" s="24">
        <v>0.6</v>
      </c>
      <c r="K35" s="24">
        <v>0.99450000000000005</v>
      </c>
      <c r="L35" s="24">
        <v>0.79720000000000002</v>
      </c>
      <c r="M35" s="25"/>
    </row>
    <row r="36" spans="1:13">
      <c r="A36" s="22" t="s">
        <v>357</v>
      </c>
      <c r="B36" s="22" t="s">
        <v>358</v>
      </c>
      <c r="C36" s="23">
        <v>398</v>
      </c>
      <c r="D36" s="23">
        <v>174</v>
      </c>
      <c r="E36" s="23">
        <v>117</v>
      </c>
      <c r="F36" s="23">
        <v>107</v>
      </c>
      <c r="G36" s="22"/>
      <c r="H36" s="22" t="s">
        <v>357</v>
      </c>
      <c r="I36" s="22" t="s">
        <v>358</v>
      </c>
      <c r="J36" s="24">
        <v>0.61680000000000001</v>
      </c>
      <c r="K36" s="24">
        <v>0.93710000000000004</v>
      </c>
      <c r="L36" s="24">
        <v>0.77700000000000002</v>
      </c>
      <c r="M36" s="25">
        <f>AVERAGE(L36:L40)</f>
        <v>0.80353999999999992</v>
      </c>
    </row>
    <row r="37" spans="1:13">
      <c r="A37" s="22" t="s">
        <v>359</v>
      </c>
      <c r="B37" s="22" t="s">
        <v>360</v>
      </c>
      <c r="C37" s="23">
        <v>539</v>
      </c>
      <c r="D37" s="23">
        <v>324</v>
      </c>
      <c r="E37" s="23">
        <v>127</v>
      </c>
      <c r="F37" s="23">
        <v>88</v>
      </c>
      <c r="G37" s="22"/>
      <c r="H37" s="22" t="s">
        <v>359</v>
      </c>
      <c r="I37" s="22" t="s">
        <v>360</v>
      </c>
      <c r="J37" s="24">
        <v>0.4773</v>
      </c>
      <c r="K37" s="24">
        <v>0.91610000000000003</v>
      </c>
      <c r="L37" s="24">
        <v>0.69669999999999999</v>
      </c>
      <c r="M37" s="25"/>
    </row>
    <row r="38" spans="1:13">
      <c r="A38" s="22" t="s">
        <v>361</v>
      </c>
      <c r="B38" s="22" t="s">
        <v>362</v>
      </c>
      <c r="C38" s="23">
        <v>624</v>
      </c>
      <c r="D38" s="23">
        <v>352</v>
      </c>
      <c r="E38" s="23">
        <v>106</v>
      </c>
      <c r="F38" s="23">
        <v>166</v>
      </c>
      <c r="G38" s="22"/>
      <c r="H38" s="22" t="s">
        <v>361</v>
      </c>
      <c r="I38" s="22" t="s">
        <v>362</v>
      </c>
      <c r="J38" s="24">
        <v>0.75900000000000001</v>
      </c>
      <c r="K38" s="24">
        <v>0.89839999999999998</v>
      </c>
      <c r="L38" s="24">
        <v>0.82869999999999999</v>
      </c>
      <c r="M38" s="25"/>
    </row>
    <row r="39" spans="1:13">
      <c r="A39" s="22" t="s">
        <v>363</v>
      </c>
      <c r="B39" s="22" t="s">
        <v>364</v>
      </c>
      <c r="C39" s="23">
        <v>1065</v>
      </c>
      <c r="D39" s="23">
        <v>691</v>
      </c>
      <c r="E39" s="23">
        <v>188</v>
      </c>
      <c r="F39" s="23">
        <v>186</v>
      </c>
      <c r="G39" s="22"/>
      <c r="H39" s="22" t="s">
        <v>363</v>
      </c>
      <c r="I39" s="22" t="s">
        <v>364</v>
      </c>
      <c r="J39" s="24">
        <v>0.86560000000000004</v>
      </c>
      <c r="K39" s="24">
        <v>0.88429999999999997</v>
      </c>
      <c r="L39" s="24">
        <v>0.87490000000000001</v>
      </c>
      <c r="M39" s="25"/>
    </row>
    <row r="40" spans="1:13">
      <c r="A40" s="22" t="s">
        <v>365</v>
      </c>
      <c r="B40" s="22" t="s">
        <v>366</v>
      </c>
      <c r="C40" s="23">
        <v>3119</v>
      </c>
      <c r="D40" s="23">
        <v>1698</v>
      </c>
      <c r="E40" s="23">
        <v>742</v>
      </c>
      <c r="F40" s="23">
        <v>679</v>
      </c>
      <c r="G40" s="22"/>
      <c r="H40" s="22" t="s">
        <v>365</v>
      </c>
      <c r="I40" s="22" t="s">
        <v>366</v>
      </c>
      <c r="J40" s="24">
        <v>0.89539999999999997</v>
      </c>
      <c r="K40" s="24">
        <v>0.7853</v>
      </c>
      <c r="L40" s="24">
        <v>0.84040000000000004</v>
      </c>
      <c r="M40" s="25"/>
    </row>
    <row r="41" spans="1:13">
      <c r="A41" s="22" t="s">
        <v>367</v>
      </c>
      <c r="B41" s="22" t="s">
        <v>368</v>
      </c>
      <c r="C41" s="23">
        <v>4555</v>
      </c>
      <c r="D41" s="23">
        <v>2513</v>
      </c>
      <c r="E41" s="23">
        <v>1158</v>
      </c>
      <c r="F41" s="23">
        <v>884</v>
      </c>
      <c r="G41" s="22"/>
      <c r="H41" s="22" t="s">
        <v>367</v>
      </c>
      <c r="I41" s="22" t="s">
        <v>368</v>
      </c>
      <c r="J41" s="24">
        <v>0.98529999999999995</v>
      </c>
      <c r="K41" s="24">
        <v>0.93479999999999996</v>
      </c>
      <c r="L41" s="24">
        <v>0.96009999999999995</v>
      </c>
      <c r="M41" s="25">
        <f>AVERAGE(L41:L42)</f>
        <v>0.95415000000000005</v>
      </c>
    </row>
    <row r="42" spans="1:13">
      <c r="A42" s="22" t="s">
        <v>369</v>
      </c>
      <c r="B42" s="22" t="s">
        <v>370</v>
      </c>
      <c r="C42" s="23">
        <v>5512</v>
      </c>
      <c r="D42" s="23">
        <v>3005</v>
      </c>
      <c r="E42" s="23">
        <v>1218</v>
      </c>
      <c r="F42" s="23">
        <v>1289</v>
      </c>
      <c r="G42" s="22"/>
      <c r="H42" s="22" t="s">
        <v>369</v>
      </c>
      <c r="I42" s="22" t="s">
        <v>370</v>
      </c>
      <c r="J42" s="24">
        <v>0.99150000000000005</v>
      </c>
      <c r="K42" s="24">
        <v>0.90500000000000003</v>
      </c>
      <c r="L42" s="24">
        <v>0.94820000000000004</v>
      </c>
      <c r="M42" s="25"/>
    </row>
    <row r="43" spans="1:13">
      <c r="A43" s="22" t="s">
        <v>371</v>
      </c>
      <c r="B43" s="22" t="s">
        <v>372</v>
      </c>
      <c r="C43" s="23">
        <v>877</v>
      </c>
      <c r="D43" s="23">
        <v>713</v>
      </c>
      <c r="E43" s="23">
        <v>49</v>
      </c>
      <c r="F43" s="23">
        <v>115</v>
      </c>
      <c r="G43" s="22"/>
      <c r="H43" s="22" t="s">
        <v>371</v>
      </c>
      <c r="I43" s="22" t="s">
        <v>372</v>
      </c>
      <c r="J43" s="24">
        <v>0.7913</v>
      </c>
      <c r="K43" s="24">
        <v>0.96840000000000004</v>
      </c>
      <c r="L43" s="24">
        <v>0.87980000000000003</v>
      </c>
      <c r="M43" s="25">
        <f>AVERAGE(L43:L47)</f>
        <v>0.86368000000000011</v>
      </c>
    </row>
    <row r="44" spans="1:13">
      <c r="A44" s="22" t="s">
        <v>373</v>
      </c>
      <c r="B44" s="22" t="s">
        <v>374</v>
      </c>
      <c r="C44" s="23">
        <v>1812</v>
      </c>
      <c r="D44" s="23">
        <v>924</v>
      </c>
      <c r="E44" s="23">
        <v>500</v>
      </c>
      <c r="F44" s="23">
        <v>388</v>
      </c>
      <c r="G44" s="22"/>
      <c r="H44" s="22" t="s">
        <v>373</v>
      </c>
      <c r="I44" s="22" t="s">
        <v>374</v>
      </c>
      <c r="J44" s="24">
        <v>0.86339999999999995</v>
      </c>
      <c r="K44" s="24">
        <v>0.94030000000000002</v>
      </c>
      <c r="L44" s="24">
        <v>0.90190000000000003</v>
      </c>
      <c r="M44" s="25"/>
    </row>
    <row r="45" spans="1:13">
      <c r="A45" s="22" t="s">
        <v>375</v>
      </c>
      <c r="B45" s="22" t="s">
        <v>376</v>
      </c>
      <c r="C45" s="23">
        <v>1223</v>
      </c>
      <c r="D45" s="23">
        <v>738</v>
      </c>
      <c r="E45" s="23">
        <v>250</v>
      </c>
      <c r="F45" s="23">
        <v>235</v>
      </c>
      <c r="G45" s="22"/>
      <c r="H45" s="22" t="s">
        <v>375</v>
      </c>
      <c r="I45" s="22" t="s">
        <v>376</v>
      </c>
      <c r="J45" s="24">
        <v>0.79149999999999998</v>
      </c>
      <c r="K45" s="24">
        <v>0.87239999999999995</v>
      </c>
      <c r="L45" s="24">
        <v>0.83199999999999996</v>
      </c>
      <c r="M45" s="25"/>
    </row>
    <row r="46" spans="1:13">
      <c r="A46" s="22" t="s">
        <v>377</v>
      </c>
      <c r="B46" s="22" t="s">
        <v>378</v>
      </c>
      <c r="C46" s="23">
        <v>6035</v>
      </c>
      <c r="D46" s="23">
        <v>3383</v>
      </c>
      <c r="E46" s="23">
        <v>1269</v>
      </c>
      <c r="F46" s="23">
        <v>1383</v>
      </c>
      <c r="G46" s="22"/>
      <c r="H46" s="22" t="s">
        <v>377</v>
      </c>
      <c r="I46" s="22" t="s">
        <v>378</v>
      </c>
      <c r="J46" s="24">
        <v>0.96309999999999996</v>
      </c>
      <c r="K46" s="24">
        <v>0.73919999999999997</v>
      </c>
      <c r="L46" s="24">
        <v>0.85119999999999996</v>
      </c>
      <c r="M46" s="25"/>
    </row>
    <row r="47" spans="1:13">
      <c r="A47" s="22" t="s">
        <v>379</v>
      </c>
      <c r="B47" s="22" t="s">
        <v>380</v>
      </c>
      <c r="C47" s="23">
        <v>1290</v>
      </c>
      <c r="D47" s="23">
        <v>661</v>
      </c>
      <c r="E47" s="23">
        <v>376</v>
      </c>
      <c r="F47" s="23">
        <v>253</v>
      </c>
      <c r="G47" s="22"/>
      <c r="H47" s="22" t="s">
        <v>379</v>
      </c>
      <c r="I47" s="22" t="s">
        <v>380</v>
      </c>
      <c r="J47" s="24">
        <v>0.78659999999999997</v>
      </c>
      <c r="K47" s="24">
        <v>0.92049999999999998</v>
      </c>
      <c r="L47" s="24">
        <v>0.85350000000000004</v>
      </c>
      <c r="M47" s="25"/>
    </row>
    <row r="48" spans="1:13">
      <c r="A48" s="22" t="s">
        <v>381</v>
      </c>
      <c r="B48" s="22" t="s">
        <v>382</v>
      </c>
      <c r="C48" s="23">
        <v>7820</v>
      </c>
      <c r="D48" s="23">
        <v>4177</v>
      </c>
      <c r="E48" s="23">
        <v>1815</v>
      </c>
      <c r="F48" s="23">
        <v>1828</v>
      </c>
      <c r="G48" s="22"/>
      <c r="H48" s="22" t="s">
        <v>381</v>
      </c>
      <c r="I48" s="22" t="s">
        <v>382</v>
      </c>
      <c r="J48" s="24">
        <v>0.98629999999999995</v>
      </c>
      <c r="K48" s="24">
        <v>0.80720000000000003</v>
      </c>
      <c r="L48" s="24">
        <v>0.89680000000000004</v>
      </c>
      <c r="M48" s="25">
        <f>AVERAGE(L48:L56)</f>
        <v>0.9058666666666666</v>
      </c>
    </row>
    <row r="49" spans="1:13">
      <c r="A49" s="36" t="s">
        <v>383</v>
      </c>
      <c r="B49" s="36" t="s">
        <v>384</v>
      </c>
      <c r="C49" s="37">
        <v>200</v>
      </c>
      <c r="D49" s="37">
        <v>158</v>
      </c>
      <c r="E49" s="37">
        <v>24</v>
      </c>
      <c r="F49" s="37">
        <v>18</v>
      </c>
      <c r="G49" s="36"/>
      <c r="H49" s="36" t="s">
        <v>383</v>
      </c>
      <c r="I49" s="36" t="s">
        <v>384</v>
      </c>
      <c r="J49" s="38">
        <v>0.77780000000000005</v>
      </c>
      <c r="K49" s="38">
        <v>0.99909999999999999</v>
      </c>
      <c r="L49" s="38">
        <v>0.88839999999999997</v>
      </c>
      <c r="M49" s="25"/>
    </row>
    <row r="50" spans="1:13">
      <c r="A50" s="22" t="s">
        <v>385</v>
      </c>
      <c r="B50" s="22" t="s">
        <v>386</v>
      </c>
      <c r="C50" s="23">
        <v>468</v>
      </c>
      <c r="D50" s="23">
        <v>279</v>
      </c>
      <c r="E50" s="23">
        <v>126</v>
      </c>
      <c r="F50" s="23">
        <v>63</v>
      </c>
      <c r="G50" s="22"/>
      <c r="H50" s="22" t="s">
        <v>385</v>
      </c>
      <c r="I50" s="22" t="s">
        <v>386</v>
      </c>
      <c r="J50" s="24">
        <v>0.84130000000000005</v>
      </c>
      <c r="K50" s="24">
        <v>0.97289999999999999</v>
      </c>
      <c r="L50" s="24">
        <v>0.90710000000000002</v>
      </c>
      <c r="M50" s="25"/>
    </row>
    <row r="51" spans="1:13">
      <c r="A51" s="36" t="s">
        <v>387</v>
      </c>
      <c r="B51" s="36" t="s">
        <v>388</v>
      </c>
      <c r="C51" s="37">
        <v>66</v>
      </c>
      <c r="D51" s="37">
        <v>43</v>
      </c>
      <c r="E51" s="37">
        <v>11</v>
      </c>
      <c r="F51" s="37">
        <v>12</v>
      </c>
      <c r="G51" s="36"/>
      <c r="H51" s="36" t="s">
        <v>387</v>
      </c>
      <c r="I51" s="36" t="s">
        <v>388</v>
      </c>
      <c r="J51" s="38">
        <v>0.91669999999999996</v>
      </c>
      <c r="K51" s="38">
        <v>0.99150000000000005</v>
      </c>
      <c r="L51" s="38">
        <v>0.95409999999999995</v>
      </c>
      <c r="M51" s="25"/>
    </row>
    <row r="52" spans="1:13">
      <c r="A52" s="36" t="s">
        <v>389</v>
      </c>
      <c r="B52" s="36" t="s">
        <v>390</v>
      </c>
      <c r="C52" s="37">
        <v>602</v>
      </c>
      <c r="D52" s="37">
        <v>428</v>
      </c>
      <c r="E52" s="37">
        <v>82</v>
      </c>
      <c r="F52" s="37">
        <v>92</v>
      </c>
      <c r="G52" s="36"/>
      <c r="H52" s="36" t="s">
        <v>389</v>
      </c>
      <c r="I52" s="36" t="s">
        <v>390</v>
      </c>
      <c r="J52" s="38">
        <v>0.81520000000000004</v>
      </c>
      <c r="K52" s="38">
        <v>0.95720000000000005</v>
      </c>
      <c r="L52" s="38">
        <v>0.88619999999999999</v>
      </c>
      <c r="M52" s="25"/>
    </row>
    <row r="53" spans="1:13">
      <c r="A53" s="36" t="s">
        <v>391</v>
      </c>
      <c r="B53" s="36" t="s">
        <v>392</v>
      </c>
      <c r="C53" s="37">
        <v>113</v>
      </c>
      <c r="D53" s="37">
        <v>84</v>
      </c>
      <c r="E53" s="37">
        <v>18</v>
      </c>
      <c r="F53" s="37">
        <v>11</v>
      </c>
      <c r="G53" s="36"/>
      <c r="H53" s="36" t="s">
        <v>391</v>
      </c>
      <c r="I53" s="36" t="s">
        <v>392</v>
      </c>
      <c r="J53" s="38">
        <v>0.81820000000000004</v>
      </c>
      <c r="K53" s="38">
        <v>0.99729999999999996</v>
      </c>
      <c r="L53" s="38">
        <v>0.90769999999999995</v>
      </c>
      <c r="M53" s="25"/>
    </row>
    <row r="54" spans="1:13">
      <c r="A54" s="36" t="s">
        <v>393</v>
      </c>
      <c r="B54" s="36" t="s">
        <v>394</v>
      </c>
      <c r="C54" s="37">
        <v>223</v>
      </c>
      <c r="D54" s="37">
        <v>177</v>
      </c>
      <c r="E54" s="37">
        <v>22</v>
      </c>
      <c r="F54" s="37">
        <v>24</v>
      </c>
      <c r="G54" s="36"/>
      <c r="H54" s="36" t="s">
        <v>393</v>
      </c>
      <c r="I54" s="36" t="s">
        <v>394</v>
      </c>
      <c r="J54" s="38">
        <v>0.70830000000000004</v>
      </c>
      <c r="K54" s="38">
        <v>0.99680000000000002</v>
      </c>
      <c r="L54" s="38">
        <v>0.85260000000000002</v>
      </c>
      <c r="M54" s="25"/>
    </row>
    <row r="55" spans="1:13">
      <c r="A55" s="36" t="s">
        <v>395</v>
      </c>
      <c r="B55" s="36" t="s">
        <v>396</v>
      </c>
      <c r="C55" s="37">
        <v>683</v>
      </c>
      <c r="D55" s="37">
        <v>453</v>
      </c>
      <c r="E55" s="37">
        <v>112</v>
      </c>
      <c r="F55" s="37">
        <v>118</v>
      </c>
      <c r="G55" s="36"/>
      <c r="H55" s="36" t="s">
        <v>395</v>
      </c>
      <c r="I55" s="36" t="s">
        <v>396</v>
      </c>
      <c r="J55" s="38">
        <v>0.88980000000000004</v>
      </c>
      <c r="K55" s="38">
        <v>0.97550000000000003</v>
      </c>
      <c r="L55" s="38">
        <v>0.93269999999999997</v>
      </c>
      <c r="M55" s="25"/>
    </row>
    <row r="56" spans="1:13">
      <c r="A56" s="36" t="s">
        <v>397</v>
      </c>
      <c r="B56" s="36" t="s">
        <v>398</v>
      </c>
      <c r="C56" s="37">
        <v>293</v>
      </c>
      <c r="D56" s="37">
        <v>281</v>
      </c>
      <c r="E56" s="37">
        <v>5</v>
      </c>
      <c r="F56" s="37">
        <v>7</v>
      </c>
      <c r="G56" s="36"/>
      <c r="H56" s="36" t="s">
        <v>397</v>
      </c>
      <c r="I56" s="36" t="s">
        <v>398</v>
      </c>
      <c r="J56" s="38">
        <v>0.85709999999999997</v>
      </c>
      <c r="K56" s="38">
        <v>0.99729999999999996</v>
      </c>
      <c r="L56" s="38">
        <v>0.92720000000000002</v>
      </c>
      <c r="M56" s="25"/>
    </row>
    <row r="57" spans="1:13">
      <c r="A57" s="22" t="s">
        <v>399</v>
      </c>
      <c r="B57" s="22" t="s">
        <v>400</v>
      </c>
      <c r="C57" s="23">
        <v>1673</v>
      </c>
      <c r="D57" s="23">
        <v>1030</v>
      </c>
      <c r="E57" s="23">
        <v>301</v>
      </c>
      <c r="F57" s="23">
        <v>342</v>
      </c>
      <c r="G57" s="22"/>
      <c r="H57" s="22" t="s">
        <v>399</v>
      </c>
      <c r="I57" s="22" t="s">
        <v>400</v>
      </c>
      <c r="J57" s="24">
        <v>0.90059999999999996</v>
      </c>
      <c r="K57" s="24">
        <v>0.96179999999999999</v>
      </c>
      <c r="L57" s="24">
        <v>0.93120000000000003</v>
      </c>
      <c r="M57" s="25">
        <f>AVERAGE(L57:L59)</f>
        <v>0.90473333333333328</v>
      </c>
    </row>
    <row r="58" spans="1:13">
      <c r="A58" s="36" t="s">
        <v>401</v>
      </c>
      <c r="B58" s="36" t="s">
        <v>402</v>
      </c>
      <c r="C58" s="37">
        <v>413</v>
      </c>
      <c r="D58" s="37">
        <v>372</v>
      </c>
      <c r="E58" s="37">
        <v>26</v>
      </c>
      <c r="F58" s="37">
        <v>15</v>
      </c>
      <c r="G58" s="36"/>
      <c r="H58" s="36" t="s">
        <v>401</v>
      </c>
      <c r="I58" s="36" t="s">
        <v>402</v>
      </c>
      <c r="J58" s="38">
        <v>0.73329999999999995</v>
      </c>
      <c r="K58" s="38">
        <v>0.99780000000000002</v>
      </c>
      <c r="L58" s="38">
        <v>0.86550000000000005</v>
      </c>
      <c r="M58" s="25"/>
    </row>
    <row r="59" spans="1:13">
      <c r="A59" s="22" t="s">
        <v>403</v>
      </c>
      <c r="B59" s="22" t="s">
        <v>404</v>
      </c>
      <c r="C59" s="23">
        <v>160</v>
      </c>
      <c r="D59" s="23">
        <v>112</v>
      </c>
      <c r="E59" s="23">
        <v>8</v>
      </c>
      <c r="F59" s="23">
        <v>40</v>
      </c>
      <c r="G59" s="22"/>
      <c r="H59" s="22" t="s">
        <v>403</v>
      </c>
      <c r="I59" s="22" t="s">
        <v>404</v>
      </c>
      <c r="J59" s="24">
        <v>0.85</v>
      </c>
      <c r="K59" s="24">
        <v>0.98509999999999998</v>
      </c>
      <c r="L59" s="24">
        <v>0.91749999999999998</v>
      </c>
      <c r="M59" s="25"/>
    </row>
    <row r="60" spans="1:13">
      <c r="A60" s="22" t="s">
        <v>405</v>
      </c>
      <c r="B60" s="22" t="s">
        <v>406</v>
      </c>
      <c r="C60" s="23">
        <v>9802</v>
      </c>
      <c r="D60" s="23">
        <v>5338</v>
      </c>
      <c r="E60" s="23">
        <v>2337</v>
      </c>
      <c r="F60" s="23">
        <v>2127</v>
      </c>
      <c r="G60" s="22"/>
      <c r="H60" s="22" t="s">
        <v>405</v>
      </c>
      <c r="I60" s="22" t="s">
        <v>406</v>
      </c>
      <c r="J60" s="24">
        <v>0.99950000000000006</v>
      </c>
      <c r="K60" s="24">
        <v>0.26090000000000002</v>
      </c>
      <c r="L60" s="24">
        <v>0.63019999999999998</v>
      </c>
      <c r="M60" s="25">
        <f>AVERAGE(L61:L62)</f>
        <v>0.72215000000000007</v>
      </c>
    </row>
    <row r="61" spans="1:13">
      <c r="A61" s="22" t="s">
        <v>407</v>
      </c>
      <c r="B61" s="22" t="s">
        <v>408</v>
      </c>
      <c r="C61" s="23">
        <v>236</v>
      </c>
      <c r="D61" s="23">
        <v>155</v>
      </c>
      <c r="E61" s="23">
        <v>44</v>
      </c>
      <c r="F61" s="23">
        <v>37</v>
      </c>
      <c r="G61" s="22"/>
      <c r="H61" s="22" t="s">
        <v>407</v>
      </c>
      <c r="I61" s="22" t="s">
        <v>408</v>
      </c>
      <c r="J61" s="24">
        <v>0.78380000000000005</v>
      </c>
      <c r="K61" s="24">
        <v>0.98270000000000002</v>
      </c>
      <c r="L61" s="24">
        <v>0.88319999999999999</v>
      </c>
      <c r="M61" s="25"/>
    </row>
    <row r="62" spans="1:13">
      <c r="A62" s="22" t="s">
        <v>409</v>
      </c>
      <c r="B62" s="22" t="s">
        <v>410</v>
      </c>
      <c r="C62" s="23">
        <v>35</v>
      </c>
      <c r="D62" s="23">
        <v>23</v>
      </c>
      <c r="E62" s="23">
        <v>4</v>
      </c>
      <c r="F62" s="23">
        <v>8</v>
      </c>
      <c r="G62" s="22"/>
      <c r="H62" s="22" t="s">
        <v>409</v>
      </c>
      <c r="I62" s="22" t="s">
        <v>410</v>
      </c>
      <c r="J62" s="24">
        <v>0.125</v>
      </c>
      <c r="K62" s="24">
        <v>0.99719999999999998</v>
      </c>
      <c r="L62" s="24">
        <v>0.56110000000000004</v>
      </c>
      <c r="M62" s="25"/>
    </row>
    <row r="63" spans="1:13">
      <c r="A63" s="22" t="s">
        <v>411</v>
      </c>
      <c r="B63" s="22" t="s">
        <v>412</v>
      </c>
      <c r="C63" s="23">
        <v>5276</v>
      </c>
      <c r="D63" s="23">
        <v>2726</v>
      </c>
      <c r="E63" s="23">
        <v>1361</v>
      </c>
      <c r="F63" s="23">
        <v>1189</v>
      </c>
      <c r="G63" s="22"/>
      <c r="H63" s="22" t="s">
        <v>411</v>
      </c>
      <c r="I63" s="22" t="s">
        <v>412</v>
      </c>
      <c r="J63" s="24">
        <v>0.94620000000000004</v>
      </c>
      <c r="K63" s="24">
        <v>0.91020000000000001</v>
      </c>
      <c r="L63" s="24">
        <v>0.92820000000000003</v>
      </c>
      <c r="M63" s="25">
        <f>AVERAGE(L63:L72)</f>
        <v>0.89565000000000006</v>
      </c>
    </row>
    <row r="64" spans="1:13">
      <c r="A64" s="22" t="s">
        <v>413</v>
      </c>
      <c r="B64" s="22" t="s">
        <v>414</v>
      </c>
      <c r="C64" s="23">
        <v>1798</v>
      </c>
      <c r="D64" s="23">
        <v>967</v>
      </c>
      <c r="E64" s="23">
        <v>450</v>
      </c>
      <c r="F64" s="23">
        <v>381</v>
      </c>
      <c r="G64" s="22"/>
      <c r="H64" s="22" t="s">
        <v>413</v>
      </c>
      <c r="I64" s="22" t="s">
        <v>414</v>
      </c>
      <c r="J64" s="24">
        <v>0.93959999999999999</v>
      </c>
      <c r="K64" s="24">
        <v>0.90900000000000003</v>
      </c>
      <c r="L64" s="24">
        <v>0.92430000000000001</v>
      </c>
      <c r="M64" s="25"/>
    </row>
    <row r="65" spans="1:13">
      <c r="A65" s="22" t="s">
        <v>415</v>
      </c>
      <c r="B65" s="22" t="s">
        <v>416</v>
      </c>
      <c r="C65" s="23">
        <v>930</v>
      </c>
      <c r="D65" s="23">
        <v>579</v>
      </c>
      <c r="E65" s="23">
        <v>150</v>
      </c>
      <c r="F65" s="23">
        <v>201</v>
      </c>
      <c r="G65" s="22"/>
      <c r="H65" s="22" t="s">
        <v>415</v>
      </c>
      <c r="I65" s="22" t="s">
        <v>416</v>
      </c>
      <c r="J65" s="24">
        <v>0.88560000000000005</v>
      </c>
      <c r="K65" s="24">
        <v>0.97809999999999997</v>
      </c>
      <c r="L65" s="24">
        <v>0.93179999999999996</v>
      </c>
      <c r="M65" s="25"/>
    </row>
    <row r="66" spans="1:13">
      <c r="A66" s="22" t="s">
        <v>417</v>
      </c>
      <c r="B66" s="22" t="s">
        <v>418</v>
      </c>
      <c r="C66" s="23">
        <v>549</v>
      </c>
      <c r="D66" s="23">
        <v>460</v>
      </c>
      <c r="E66" s="23">
        <v>40</v>
      </c>
      <c r="F66" s="23">
        <v>49</v>
      </c>
      <c r="G66" s="22"/>
      <c r="H66" s="22" t="s">
        <v>417</v>
      </c>
      <c r="I66" s="22" t="s">
        <v>418</v>
      </c>
      <c r="J66" s="24">
        <v>0.79590000000000005</v>
      </c>
      <c r="K66" s="24">
        <v>0.98</v>
      </c>
      <c r="L66" s="24">
        <v>0.88800000000000001</v>
      </c>
      <c r="M66" s="25"/>
    </row>
    <row r="67" spans="1:13">
      <c r="A67" s="22" t="s">
        <v>419</v>
      </c>
      <c r="B67" s="22" t="s">
        <v>420</v>
      </c>
      <c r="C67" s="23">
        <v>1585</v>
      </c>
      <c r="D67" s="23">
        <v>970</v>
      </c>
      <c r="E67" s="23">
        <v>312</v>
      </c>
      <c r="F67" s="23">
        <v>303</v>
      </c>
      <c r="G67" s="22"/>
      <c r="H67" s="22" t="s">
        <v>419</v>
      </c>
      <c r="I67" s="22" t="s">
        <v>420</v>
      </c>
      <c r="J67" s="24">
        <v>0.82840000000000003</v>
      </c>
      <c r="K67" s="24">
        <v>0.92610000000000003</v>
      </c>
      <c r="L67" s="24">
        <v>0.87729999999999997</v>
      </c>
      <c r="M67" s="25"/>
    </row>
    <row r="68" spans="1:13">
      <c r="A68" s="22" t="s">
        <v>421</v>
      </c>
      <c r="B68" s="22" t="s">
        <v>422</v>
      </c>
      <c r="C68" s="23">
        <v>502</v>
      </c>
      <c r="D68" s="23">
        <v>441</v>
      </c>
      <c r="E68" s="23">
        <v>40</v>
      </c>
      <c r="F68" s="23">
        <v>21</v>
      </c>
      <c r="G68" s="22"/>
      <c r="H68" s="22" t="s">
        <v>421</v>
      </c>
      <c r="I68" s="22" t="s">
        <v>422</v>
      </c>
      <c r="J68" s="24">
        <v>0.95240000000000002</v>
      </c>
      <c r="K68" s="24">
        <v>0.99180000000000001</v>
      </c>
      <c r="L68" s="24">
        <v>0.97209999999999996</v>
      </c>
      <c r="M68" s="25"/>
    </row>
    <row r="69" spans="1:13">
      <c r="A69" s="22" t="s">
        <v>423</v>
      </c>
      <c r="B69" s="22" t="s">
        <v>424</v>
      </c>
      <c r="C69" s="23">
        <v>111</v>
      </c>
      <c r="D69" s="23">
        <v>84</v>
      </c>
      <c r="E69" s="23">
        <v>13</v>
      </c>
      <c r="F69" s="23">
        <v>14</v>
      </c>
      <c r="G69" s="22"/>
      <c r="H69" s="22" t="s">
        <v>423</v>
      </c>
      <c r="I69" s="22" t="s">
        <v>424</v>
      </c>
      <c r="J69" s="24">
        <v>0.28570000000000001</v>
      </c>
      <c r="K69" s="24">
        <v>0.99139999999999995</v>
      </c>
      <c r="L69" s="24">
        <v>0.63859999999999995</v>
      </c>
      <c r="M69" s="25"/>
    </row>
    <row r="70" spans="1:13">
      <c r="A70" s="22" t="s">
        <v>425</v>
      </c>
      <c r="B70" s="22" t="s">
        <v>426</v>
      </c>
      <c r="C70" s="23">
        <v>505</v>
      </c>
      <c r="D70" s="23">
        <v>399</v>
      </c>
      <c r="E70" s="23">
        <v>50</v>
      </c>
      <c r="F70" s="23">
        <v>56</v>
      </c>
      <c r="G70" s="22"/>
      <c r="H70" s="22" t="s">
        <v>425</v>
      </c>
      <c r="I70" s="22" t="s">
        <v>426</v>
      </c>
      <c r="J70" s="24">
        <v>0.94640000000000002</v>
      </c>
      <c r="K70" s="24">
        <v>0.99209999999999998</v>
      </c>
      <c r="L70" s="24">
        <v>0.96930000000000005</v>
      </c>
      <c r="M70" s="25"/>
    </row>
    <row r="71" spans="1:13">
      <c r="A71" s="22" t="s">
        <v>427</v>
      </c>
      <c r="B71" s="22" t="s">
        <v>428</v>
      </c>
      <c r="C71" s="23">
        <v>580</v>
      </c>
      <c r="D71" s="23">
        <v>332</v>
      </c>
      <c r="E71" s="23">
        <v>117</v>
      </c>
      <c r="F71" s="23">
        <v>131</v>
      </c>
      <c r="G71" s="22"/>
      <c r="H71" s="22" t="s">
        <v>427</v>
      </c>
      <c r="I71" s="22" t="s">
        <v>428</v>
      </c>
      <c r="J71" s="24">
        <v>0.79390000000000005</v>
      </c>
      <c r="K71" s="24">
        <v>0.99460000000000004</v>
      </c>
      <c r="L71" s="24">
        <v>0.89419999999999999</v>
      </c>
      <c r="M71" s="25"/>
    </row>
    <row r="72" spans="1:13">
      <c r="A72" s="22" t="s">
        <v>429</v>
      </c>
      <c r="B72" s="22" t="s">
        <v>430</v>
      </c>
      <c r="C72" s="23">
        <v>181</v>
      </c>
      <c r="D72" s="23">
        <v>159</v>
      </c>
      <c r="E72" s="23">
        <v>7</v>
      </c>
      <c r="F72" s="23">
        <v>15</v>
      </c>
      <c r="G72" s="22"/>
      <c r="H72" s="22" t="s">
        <v>429</v>
      </c>
      <c r="I72" s="22" t="s">
        <v>430</v>
      </c>
      <c r="J72" s="24">
        <v>0.86670000000000003</v>
      </c>
      <c r="K72" s="24">
        <v>0.99870000000000003</v>
      </c>
      <c r="L72" s="24">
        <v>0.93269999999999997</v>
      </c>
      <c r="M72" s="25"/>
    </row>
    <row r="73" spans="1:13">
      <c r="A73" s="22" t="s">
        <v>431</v>
      </c>
      <c r="B73" s="22" t="s">
        <v>432</v>
      </c>
      <c r="C73" s="23">
        <v>5907</v>
      </c>
      <c r="D73" s="23">
        <v>3031</v>
      </c>
      <c r="E73" s="23">
        <v>1432</v>
      </c>
      <c r="F73" s="23">
        <v>1444</v>
      </c>
      <c r="G73" s="22"/>
      <c r="H73" s="22" t="s">
        <v>431</v>
      </c>
      <c r="I73" s="22" t="s">
        <v>432</v>
      </c>
      <c r="J73" s="24">
        <v>0.98960000000000004</v>
      </c>
      <c r="K73" s="24">
        <v>0.85319999999999996</v>
      </c>
      <c r="L73" s="24">
        <v>0.9214</v>
      </c>
      <c r="M73" s="25">
        <f>AVERAGE(L73:L75)</f>
        <v>0.93126666666666669</v>
      </c>
    </row>
    <row r="74" spans="1:13">
      <c r="A74" s="22" t="s">
        <v>433</v>
      </c>
      <c r="B74" s="22" t="s">
        <v>434</v>
      </c>
      <c r="C74" s="23">
        <v>812</v>
      </c>
      <c r="D74" s="23">
        <v>488</v>
      </c>
      <c r="E74" s="23">
        <v>201</v>
      </c>
      <c r="F74" s="23">
        <v>123</v>
      </c>
      <c r="G74" s="22"/>
      <c r="H74" s="22" t="s">
        <v>433</v>
      </c>
      <c r="I74" s="22" t="s">
        <v>434</v>
      </c>
      <c r="J74" s="24">
        <v>0.83740000000000003</v>
      </c>
      <c r="K74" s="24">
        <v>0.96679999999999999</v>
      </c>
      <c r="L74" s="24">
        <v>0.90210000000000001</v>
      </c>
      <c r="M74" s="25"/>
    </row>
    <row r="75" spans="1:13">
      <c r="A75" s="22" t="s">
        <v>435</v>
      </c>
      <c r="B75" s="22" t="s">
        <v>436</v>
      </c>
      <c r="C75" s="23">
        <v>3098</v>
      </c>
      <c r="D75" s="23">
        <v>1850</v>
      </c>
      <c r="E75" s="23">
        <v>682</v>
      </c>
      <c r="F75" s="23">
        <v>566</v>
      </c>
      <c r="G75" s="22"/>
      <c r="H75" s="22" t="s">
        <v>435</v>
      </c>
      <c r="I75" s="22" t="s">
        <v>436</v>
      </c>
      <c r="J75" s="24">
        <v>0.98409999999999997</v>
      </c>
      <c r="K75" s="24">
        <v>0.95640000000000003</v>
      </c>
      <c r="L75" s="24">
        <v>0.97030000000000005</v>
      </c>
      <c r="M75" s="25"/>
    </row>
    <row r="76" spans="1:13">
      <c r="A76" s="22" t="s">
        <v>437</v>
      </c>
      <c r="B76" s="22" t="s">
        <v>438</v>
      </c>
      <c r="C76" s="23">
        <v>1492</v>
      </c>
      <c r="D76" s="23">
        <v>756</v>
      </c>
      <c r="E76" s="23">
        <v>386</v>
      </c>
      <c r="F76" s="23">
        <v>350</v>
      </c>
      <c r="G76" s="22"/>
      <c r="H76" s="22" t="s">
        <v>437</v>
      </c>
      <c r="I76" s="22" t="s">
        <v>438</v>
      </c>
      <c r="J76" s="24">
        <v>0.94289999999999996</v>
      </c>
      <c r="K76" s="24">
        <v>0.92700000000000005</v>
      </c>
      <c r="L76" s="24">
        <v>0.93489999999999995</v>
      </c>
      <c r="M76" s="25">
        <f>AVERAGE(L76:L80)</f>
        <v>0.86571999999999993</v>
      </c>
    </row>
    <row r="77" spans="1:13">
      <c r="A77" s="22" t="s">
        <v>439</v>
      </c>
      <c r="B77" s="22" t="s">
        <v>440</v>
      </c>
      <c r="C77" s="23">
        <v>430</v>
      </c>
      <c r="D77" s="23">
        <v>250</v>
      </c>
      <c r="E77" s="23">
        <v>76</v>
      </c>
      <c r="F77" s="23">
        <v>104</v>
      </c>
      <c r="G77" s="22"/>
      <c r="H77" s="22" t="s">
        <v>439</v>
      </c>
      <c r="I77" s="22" t="s">
        <v>440</v>
      </c>
      <c r="J77" s="24">
        <v>0.86539999999999995</v>
      </c>
      <c r="K77" s="24">
        <v>0.99280000000000002</v>
      </c>
      <c r="L77" s="24">
        <v>0.92910000000000004</v>
      </c>
      <c r="M77" s="25"/>
    </row>
    <row r="78" spans="1:13">
      <c r="A78" s="22" t="s">
        <v>441</v>
      </c>
      <c r="B78" s="22" t="s">
        <v>442</v>
      </c>
      <c r="C78" s="23">
        <v>446</v>
      </c>
      <c r="D78" s="23">
        <v>402</v>
      </c>
      <c r="E78" s="23">
        <v>11</v>
      </c>
      <c r="F78" s="23">
        <v>33</v>
      </c>
      <c r="G78" s="22"/>
      <c r="H78" s="22" t="s">
        <v>441</v>
      </c>
      <c r="I78" s="22" t="s">
        <v>442</v>
      </c>
      <c r="J78" s="24">
        <v>0.57579999999999998</v>
      </c>
      <c r="K78" s="24">
        <v>0.99590000000000001</v>
      </c>
      <c r="L78" s="24">
        <v>0.78590000000000004</v>
      </c>
      <c r="M78" s="25"/>
    </row>
    <row r="79" spans="1:13">
      <c r="A79" s="22" t="s">
        <v>443</v>
      </c>
      <c r="B79" s="22" t="s">
        <v>444</v>
      </c>
      <c r="C79" s="23">
        <v>9062</v>
      </c>
      <c r="D79" s="23">
        <v>4916</v>
      </c>
      <c r="E79" s="23">
        <v>2164</v>
      </c>
      <c r="F79" s="23">
        <v>1982</v>
      </c>
      <c r="G79" s="22"/>
      <c r="H79" s="22" t="s">
        <v>443</v>
      </c>
      <c r="I79" s="22" t="s">
        <v>444</v>
      </c>
      <c r="J79" s="24">
        <v>0.99139999999999995</v>
      </c>
      <c r="K79" s="24">
        <v>0.63980000000000004</v>
      </c>
      <c r="L79" s="24">
        <v>0.81559999999999999</v>
      </c>
      <c r="M79" s="25"/>
    </row>
    <row r="80" spans="1:13">
      <c r="A80" s="22" t="s">
        <v>445</v>
      </c>
      <c r="B80" s="22" t="s">
        <v>446</v>
      </c>
      <c r="C80" s="23">
        <v>560</v>
      </c>
      <c r="D80" s="23">
        <v>389</v>
      </c>
      <c r="E80" s="23">
        <v>112</v>
      </c>
      <c r="F80" s="23">
        <v>59</v>
      </c>
      <c r="G80" s="22"/>
      <c r="H80" s="22" t="s">
        <v>445</v>
      </c>
      <c r="I80" s="22" t="s">
        <v>446</v>
      </c>
      <c r="J80" s="24">
        <v>0.74580000000000002</v>
      </c>
      <c r="K80" s="24">
        <v>0.98029999999999995</v>
      </c>
      <c r="L80" s="24">
        <v>0.86309999999999998</v>
      </c>
      <c r="M80" s="25"/>
    </row>
    <row r="81" spans="1:13">
      <c r="A81" s="22" t="s">
        <v>447</v>
      </c>
      <c r="B81" s="22" t="s">
        <v>448</v>
      </c>
      <c r="C81" s="23">
        <v>147</v>
      </c>
      <c r="D81" s="23">
        <v>58</v>
      </c>
      <c r="E81" s="23">
        <v>47</v>
      </c>
      <c r="F81" s="23">
        <v>42</v>
      </c>
      <c r="G81" s="22"/>
      <c r="H81" s="22" t="s">
        <v>447</v>
      </c>
      <c r="I81" s="22" t="s">
        <v>448</v>
      </c>
      <c r="J81" s="24">
        <v>0.38100000000000001</v>
      </c>
      <c r="K81" s="24">
        <v>0.98729999999999996</v>
      </c>
      <c r="L81" s="24">
        <v>0.68410000000000004</v>
      </c>
      <c r="M81" s="25">
        <f>AVERAGE(L81:L83)</f>
        <v>0.79820000000000002</v>
      </c>
    </row>
    <row r="82" spans="1:13">
      <c r="A82" s="22" t="s">
        <v>449</v>
      </c>
      <c r="B82" s="22" t="s">
        <v>450</v>
      </c>
      <c r="C82" s="23">
        <v>8720</v>
      </c>
      <c r="D82" s="23">
        <v>4750</v>
      </c>
      <c r="E82" s="23">
        <v>2054</v>
      </c>
      <c r="F82" s="23">
        <v>1916</v>
      </c>
      <c r="G82" s="22"/>
      <c r="H82" s="22" t="s">
        <v>449</v>
      </c>
      <c r="I82" s="22" t="s">
        <v>450</v>
      </c>
      <c r="J82" s="24">
        <v>0.99370000000000003</v>
      </c>
      <c r="K82" s="24">
        <v>0.56030000000000002</v>
      </c>
      <c r="L82" s="24">
        <v>0.77700000000000002</v>
      </c>
      <c r="M82" s="25"/>
    </row>
    <row r="83" spans="1:13">
      <c r="A83" s="22" t="s">
        <v>451</v>
      </c>
      <c r="B83" s="22" t="s">
        <v>452</v>
      </c>
      <c r="C83" s="23">
        <v>1161</v>
      </c>
      <c r="D83" s="23">
        <v>656</v>
      </c>
      <c r="E83" s="23">
        <v>279</v>
      </c>
      <c r="F83" s="23">
        <v>226</v>
      </c>
      <c r="G83" s="22"/>
      <c r="H83" s="22" t="s">
        <v>451</v>
      </c>
      <c r="I83" s="22" t="s">
        <v>452</v>
      </c>
      <c r="J83" s="24">
        <v>0.90710000000000002</v>
      </c>
      <c r="K83" s="24">
        <v>0.95989999999999998</v>
      </c>
      <c r="L83" s="24">
        <v>0.9335</v>
      </c>
      <c r="M83" s="25"/>
    </row>
    <row r="84" spans="1:13">
      <c r="A84" s="22" t="s">
        <v>453</v>
      </c>
      <c r="B84" s="22" t="s">
        <v>454</v>
      </c>
      <c r="C84" s="23">
        <v>3040</v>
      </c>
      <c r="D84" s="23">
        <v>1517</v>
      </c>
      <c r="E84" s="23">
        <v>729</v>
      </c>
      <c r="F84" s="23">
        <v>794</v>
      </c>
      <c r="G84" s="22"/>
      <c r="H84" s="22" t="s">
        <v>453</v>
      </c>
      <c r="I84" s="22" t="s">
        <v>454</v>
      </c>
      <c r="J84" s="24">
        <v>0.94079999999999997</v>
      </c>
      <c r="K84" s="24">
        <v>0.9395</v>
      </c>
      <c r="L84" s="24">
        <v>0.94020000000000004</v>
      </c>
      <c r="M84" s="25">
        <f>AVERAGE(L84:L94)</f>
        <v>0.89978181818181824</v>
      </c>
    </row>
    <row r="85" spans="1:13">
      <c r="A85" s="22" t="s">
        <v>455</v>
      </c>
      <c r="B85" s="22" t="s">
        <v>456</v>
      </c>
      <c r="C85" s="23">
        <v>1067</v>
      </c>
      <c r="D85" s="23">
        <v>678</v>
      </c>
      <c r="E85" s="23">
        <v>225</v>
      </c>
      <c r="F85" s="23">
        <v>164</v>
      </c>
      <c r="G85" s="22"/>
      <c r="H85" s="22" t="s">
        <v>455</v>
      </c>
      <c r="I85" s="22" t="s">
        <v>456</v>
      </c>
      <c r="J85" s="24">
        <v>0.872</v>
      </c>
      <c r="K85" s="24">
        <v>0.9476</v>
      </c>
      <c r="L85" s="24">
        <v>0.90980000000000005</v>
      </c>
      <c r="M85" s="25"/>
    </row>
    <row r="86" spans="1:13">
      <c r="A86" s="22" t="s">
        <v>457</v>
      </c>
      <c r="B86" s="22" t="s">
        <v>458</v>
      </c>
      <c r="C86" s="23">
        <v>662</v>
      </c>
      <c r="D86" s="23">
        <v>494</v>
      </c>
      <c r="E86" s="23">
        <v>77</v>
      </c>
      <c r="F86" s="23">
        <v>91</v>
      </c>
      <c r="G86" s="22"/>
      <c r="H86" s="22" t="s">
        <v>457</v>
      </c>
      <c r="I86" s="22" t="s">
        <v>458</v>
      </c>
      <c r="J86" s="24">
        <v>0.76919999999999999</v>
      </c>
      <c r="K86" s="24">
        <v>0.97719999999999996</v>
      </c>
      <c r="L86" s="24">
        <v>0.87319999999999998</v>
      </c>
      <c r="M86" s="25"/>
    </row>
    <row r="87" spans="1:13">
      <c r="A87" s="22" t="s">
        <v>459</v>
      </c>
      <c r="B87" s="22" t="s">
        <v>460</v>
      </c>
      <c r="C87" s="23">
        <v>1194</v>
      </c>
      <c r="D87" s="23">
        <v>915</v>
      </c>
      <c r="E87" s="23">
        <v>145</v>
      </c>
      <c r="F87" s="23">
        <v>134</v>
      </c>
      <c r="G87" s="22"/>
      <c r="H87" s="22" t="s">
        <v>459</v>
      </c>
      <c r="I87" s="22" t="s">
        <v>460</v>
      </c>
      <c r="J87" s="24">
        <v>0.94779999999999998</v>
      </c>
      <c r="K87" s="24">
        <v>0.98509999999999998</v>
      </c>
      <c r="L87" s="24">
        <v>0.96640000000000004</v>
      </c>
      <c r="M87" s="25"/>
    </row>
    <row r="88" spans="1:13">
      <c r="A88" s="22" t="s">
        <v>461</v>
      </c>
      <c r="B88" s="22" t="s">
        <v>462</v>
      </c>
      <c r="C88" s="23">
        <v>1642</v>
      </c>
      <c r="D88" s="23">
        <v>905</v>
      </c>
      <c r="E88" s="23">
        <v>356</v>
      </c>
      <c r="F88" s="23">
        <v>381</v>
      </c>
      <c r="G88" s="22"/>
      <c r="H88" s="22" t="s">
        <v>461</v>
      </c>
      <c r="I88" s="22" t="s">
        <v>462</v>
      </c>
      <c r="J88" s="24">
        <v>0.83730000000000004</v>
      </c>
      <c r="K88" s="24">
        <v>0.90410000000000001</v>
      </c>
      <c r="L88" s="24">
        <v>0.87070000000000003</v>
      </c>
      <c r="M88" s="25"/>
    </row>
    <row r="89" spans="1:13">
      <c r="A89" s="22" t="s">
        <v>463</v>
      </c>
      <c r="B89" s="22" t="s">
        <v>464</v>
      </c>
      <c r="C89" s="23">
        <v>320</v>
      </c>
      <c r="D89" s="23">
        <v>224</v>
      </c>
      <c r="E89" s="23">
        <v>47</v>
      </c>
      <c r="F89" s="23">
        <v>49</v>
      </c>
      <c r="G89" s="22"/>
      <c r="H89" s="22" t="s">
        <v>463</v>
      </c>
      <c r="I89" s="22" t="s">
        <v>464</v>
      </c>
      <c r="J89" s="24">
        <v>0.57140000000000002</v>
      </c>
      <c r="K89" s="24">
        <v>0.99539999999999995</v>
      </c>
      <c r="L89" s="24">
        <v>0.78339999999999999</v>
      </c>
      <c r="M89" s="25"/>
    </row>
    <row r="90" spans="1:13">
      <c r="A90" s="22" t="s">
        <v>465</v>
      </c>
      <c r="B90" s="22" t="s">
        <v>466</v>
      </c>
      <c r="C90" s="23">
        <v>829</v>
      </c>
      <c r="D90" s="23">
        <v>561</v>
      </c>
      <c r="E90" s="23">
        <v>169</v>
      </c>
      <c r="F90" s="23">
        <v>99</v>
      </c>
      <c r="G90" s="22"/>
      <c r="H90" s="22" t="s">
        <v>465</v>
      </c>
      <c r="I90" s="22" t="s">
        <v>466</v>
      </c>
      <c r="J90" s="24">
        <v>0.81820000000000004</v>
      </c>
      <c r="K90" s="24">
        <v>0.99009999999999998</v>
      </c>
      <c r="L90" s="24">
        <v>0.90410000000000001</v>
      </c>
      <c r="M90" s="25"/>
    </row>
    <row r="91" spans="1:13">
      <c r="A91" s="22" t="s">
        <v>467</v>
      </c>
      <c r="B91" s="22" t="s">
        <v>468</v>
      </c>
      <c r="C91" s="23">
        <v>817</v>
      </c>
      <c r="D91" s="23">
        <v>680</v>
      </c>
      <c r="E91" s="23">
        <v>77</v>
      </c>
      <c r="F91" s="23">
        <v>60</v>
      </c>
      <c r="G91" s="22"/>
      <c r="H91" s="22" t="s">
        <v>467</v>
      </c>
      <c r="I91" s="22" t="s">
        <v>468</v>
      </c>
      <c r="J91" s="24">
        <v>0.7</v>
      </c>
      <c r="K91" s="24">
        <v>0.98560000000000003</v>
      </c>
      <c r="L91" s="24">
        <v>0.84279999999999999</v>
      </c>
      <c r="M91" s="25"/>
    </row>
    <row r="92" spans="1:13">
      <c r="A92" s="22" t="s">
        <v>469</v>
      </c>
      <c r="B92" s="22" t="s">
        <v>470</v>
      </c>
      <c r="C92" s="23">
        <v>641</v>
      </c>
      <c r="D92" s="23">
        <v>364</v>
      </c>
      <c r="E92" s="23">
        <v>128</v>
      </c>
      <c r="F92" s="23">
        <v>149</v>
      </c>
      <c r="G92" s="22"/>
      <c r="H92" s="22" t="s">
        <v>469</v>
      </c>
      <c r="I92" s="22" t="s">
        <v>470</v>
      </c>
      <c r="J92" s="24">
        <v>0.91279999999999994</v>
      </c>
      <c r="K92" s="24">
        <v>0.97619999999999996</v>
      </c>
      <c r="L92" s="24">
        <v>0.94450000000000001</v>
      </c>
      <c r="M92" s="25"/>
    </row>
    <row r="93" spans="1:13">
      <c r="A93" s="22" t="s">
        <v>471</v>
      </c>
      <c r="B93" s="22" t="s">
        <v>472</v>
      </c>
      <c r="C93" s="23">
        <v>2801</v>
      </c>
      <c r="D93" s="23">
        <v>1552</v>
      </c>
      <c r="E93" s="23">
        <v>753</v>
      </c>
      <c r="F93" s="23">
        <v>496</v>
      </c>
      <c r="G93" s="22"/>
      <c r="H93" s="22" t="s">
        <v>471</v>
      </c>
      <c r="I93" s="22" t="s">
        <v>472</v>
      </c>
      <c r="J93" s="24">
        <v>0.9073</v>
      </c>
      <c r="K93" s="24">
        <v>0.93120000000000003</v>
      </c>
      <c r="L93" s="24">
        <v>0.91920000000000002</v>
      </c>
      <c r="M93" s="25"/>
    </row>
    <row r="94" spans="1:13">
      <c r="A94" s="22" t="s">
        <v>473</v>
      </c>
      <c r="B94" s="22" t="s">
        <v>474</v>
      </c>
      <c r="C94" s="23">
        <v>566</v>
      </c>
      <c r="D94" s="23">
        <v>353</v>
      </c>
      <c r="E94" s="23">
        <v>102</v>
      </c>
      <c r="F94" s="23">
        <v>111</v>
      </c>
      <c r="G94" s="22"/>
      <c r="H94" s="22" t="s">
        <v>473</v>
      </c>
      <c r="I94" s="22" t="s">
        <v>474</v>
      </c>
      <c r="J94" s="24">
        <v>0.89190000000000003</v>
      </c>
      <c r="K94" s="24">
        <v>0.99480000000000002</v>
      </c>
      <c r="L94" s="24">
        <v>0.94330000000000003</v>
      </c>
      <c r="M94" s="25"/>
    </row>
    <row r="95" spans="1:13">
      <c r="A95" s="22" t="s">
        <v>475</v>
      </c>
      <c r="B95" s="22" t="s">
        <v>476</v>
      </c>
      <c r="C95" s="23">
        <v>530</v>
      </c>
      <c r="D95" s="23">
        <v>316</v>
      </c>
      <c r="E95" s="23">
        <v>92</v>
      </c>
      <c r="F95" s="23">
        <v>122</v>
      </c>
      <c r="G95" s="22"/>
      <c r="H95" s="22" t="s">
        <v>475</v>
      </c>
      <c r="I95" s="22" t="s">
        <v>476</v>
      </c>
      <c r="J95" s="24">
        <v>0.65569999999999995</v>
      </c>
      <c r="K95" s="24">
        <v>0.97070000000000001</v>
      </c>
      <c r="L95" s="24">
        <v>0.81320000000000003</v>
      </c>
      <c r="M95" s="25">
        <f>AVERAGE(L95:L100)</f>
        <v>0.85165000000000013</v>
      </c>
    </row>
    <row r="96" spans="1:13">
      <c r="A96" s="22" t="s">
        <v>477</v>
      </c>
      <c r="B96" s="22" t="s">
        <v>478</v>
      </c>
      <c r="C96" s="23">
        <v>1294</v>
      </c>
      <c r="D96" s="23">
        <v>760</v>
      </c>
      <c r="E96" s="23">
        <v>265</v>
      </c>
      <c r="F96" s="23">
        <v>269</v>
      </c>
      <c r="G96" s="22"/>
      <c r="H96" s="22" t="s">
        <v>477</v>
      </c>
      <c r="I96" s="22" t="s">
        <v>478</v>
      </c>
      <c r="J96" s="24">
        <v>0.81779999999999997</v>
      </c>
      <c r="K96" s="24">
        <v>0.92649999999999999</v>
      </c>
      <c r="L96" s="24">
        <v>0.87219999999999998</v>
      </c>
      <c r="M96" s="25"/>
    </row>
    <row r="97" spans="1:13">
      <c r="A97" s="22" t="s">
        <v>479</v>
      </c>
      <c r="B97" s="22" t="s">
        <v>480</v>
      </c>
      <c r="C97" s="23">
        <v>381</v>
      </c>
      <c r="D97" s="23">
        <v>218</v>
      </c>
      <c r="E97" s="23">
        <v>67</v>
      </c>
      <c r="F97" s="23">
        <v>96</v>
      </c>
      <c r="G97" s="22"/>
      <c r="H97" s="22" t="s">
        <v>479</v>
      </c>
      <c r="I97" s="22" t="s">
        <v>480</v>
      </c>
      <c r="J97" s="24">
        <v>0.80210000000000004</v>
      </c>
      <c r="K97" s="24">
        <v>0.98409999999999997</v>
      </c>
      <c r="L97" s="24">
        <v>0.8931</v>
      </c>
      <c r="M97" s="25"/>
    </row>
    <row r="98" spans="1:13">
      <c r="A98" s="22" t="s">
        <v>481</v>
      </c>
      <c r="B98" s="22" t="s">
        <v>482</v>
      </c>
      <c r="C98" s="23">
        <v>6714</v>
      </c>
      <c r="D98" s="23">
        <v>3731</v>
      </c>
      <c r="E98" s="23">
        <v>1625</v>
      </c>
      <c r="F98" s="23">
        <v>1358</v>
      </c>
      <c r="G98" s="22"/>
      <c r="H98" s="22" t="s">
        <v>481</v>
      </c>
      <c r="I98" s="22" t="s">
        <v>482</v>
      </c>
      <c r="J98" s="24">
        <v>0.97860000000000003</v>
      </c>
      <c r="K98" s="24">
        <v>0.66379999999999995</v>
      </c>
      <c r="L98" s="24">
        <v>0.82120000000000004</v>
      </c>
      <c r="M98" s="25"/>
    </row>
    <row r="99" spans="1:13">
      <c r="A99" s="22" t="s">
        <v>483</v>
      </c>
      <c r="B99" s="22" t="s">
        <v>484</v>
      </c>
      <c r="C99" s="23">
        <v>707</v>
      </c>
      <c r="D99" s="23">
        <v>313</v>
      </c>
      <c r="E99" s="23">
        <v>179</v>
      </c>
      <c r="F99" s="23">
        <v>215</v>
      </c>
      <c r="G99" s="22"/>
      <c r="H99" s="22" t="s">
        <v>483</v>
      </c>
      <c r="I99" s="22" t="s">
        <v>484</v>
      </c>
      <c r="J99" s="24">
        <v>0.6512</v>
      </c>
      <c r="K99" s="24">
        <v>0.9617</v>
      </c>
      <c r="L99" s="24">
        <v>0.80640000000000001</v>
      </c>
      <c r="M99" s="25"/>
    </row>
    <row r="100" spans="1:13">
      <c r="A100" s="22" t="s">
        <v>485</v>
      </c>
      <c r="B100" s="22" t="s">
        <v>486</v>
      </c>
      <c r="C100" s="23">
        <v>581</v>
      </c>
      <c r="D100" s="23">
        <v>315</v>
      </c>
      <c r="E100" s="23">
        <v>125</v>
      </c>
      <c r="F100" s="23">
        <v>141</v>
      </c>
      <c r="G100" s="22"/>
      <c r="H100" s="22" t="s">
        <v>485</v>
      </c>
      <c r="I100" s="22" t="s">
        <v>486</v>
      </c>
      <c r="J100" s="24">
        <v>0.82979999999999998</v>
      </c>
      <c r="K100" s="24">
        <v>0.97789999999999999</v>
      </c>
      <c r="L100" s="24">
        <v>0.90380000000000005</v>
      </c>
      <c r="M100" s="25"/>
    </row>
    <row r="101" spans="1:13">
      <c r="A101" s="22" t="s">
        <v>487</v>
      </c>
      <c r="B101" s="22" t="s">
        <v>488</v>
      </c>
      <c r="C101" s="23">
        <v>3591</v>
      </c>
      <c r="D101" s="23">
        <v>1679</v>
      </c>
      <c r="E101" s="23">
        <v>856</v>
      </c>
      <c r="F101" s="23">
        <v>1056</v>
      </c>
      <c r="G101" s="22"/>
      <c r="H101" s="22" t="s">
        <v>487</v>
      </c>
      <c r="I101" s="22" t="s">
        <v>488</v>
      </c>
      <c r="J101" s="24">
        <v>0.93559999999999999</v>
      </c>
      <c r="K101" s="24">
        <v>0.9042</v>
      </c>
      <c r="L101" s="24">
        <v>0.91990000000000005</v>
      </c>
      <c r="M101" s="25">
        <f>AVERAGE(L101:L103)</f>
        <v>0.91996666666666671</v>
      </c>
    </row>
    <row r="102" spans="1:13">
      <c r="A102" s="22" t="s">
        <v>489</v>
      </c>
      <c r="B102" s="22" t="s">
        <v>490</v>
      </c>
      <c r="C102" s="23">
        <v>5893</v>
      </c>
      <c r="D102" s="23">
        <v>3513</v>
      </c>
      <c r="E102" s="23">
        <v>1375</v>
      </c>
      <c r="F102" s="23">
        <v>1005</v>
      </c>
      <c r="G102" s="22"/>
      <c r="H102" s="22" t="s">
        <v>489</v>
      </c>
      <c r="I102" s="22" t="s">
        <v>490</v>
      </c>
      <c r="J102" s="24">
        <v>0.98809999999999998</v>
      </c>
      <c r="K102" s="24">
        <v>0.79200000000000004</v>
      </c>
      <c r="L102" s="24">
        <v>0.89</v>
      </c>
      <c r="M102" s="25"/>
    </row>
    <row r="103" spans="1:13">
      <c r="A103" s="22" t="s">
        <v>491</v>
      </c>
      <c r="B103" s="22" t="s">
        <v>492</v>
      </c>
      <c r="C103" s="23">
        <v>278</v>
      </c>
      <c r="D103" s="23">
        <v>170</v>
      </c>
      <c r="E103" s="23">
        <v>56</v>
      </c>
      <c r="F103" s="23">
        <v>52</v>
      </c>
      <c r="G103" s="22"/>
      <c r="H103" s="22" t="s">
        <v>491</v>
      </c>
      <c r="I103" s="22" t="s">
        <v>492</v>
      </c>
      <c r="J103" s="24">
        <v>0.92310000000000003</v>
      </c>
      <c r="K103" s="24">
        <v>0.97689999999999999</v>
      </c>
      <c r="L103" s="24">
        <v>0.95</v>
      </c>
      <c r="M103" s="25"/>
    </row>
    <row r="104" spans="1:13">
      <c r="A104" s="22" t="s">
        <v>493</v>
      </c>
      <c r="B104" s="22" t="s">
        <v>494</v>
      </c>
      <c r="C104" s="23">
        <v>167</v>
      </c>
      <c r="D104" s="23">
        <v>84</v>
      </c>
      <c r="E104" s="23">
        <v>25</v>
      </c>
      <c r="F104" s="23">
        <v>58</v>
      </c>
      <c r="G104" s="22"/>
      <c r="H104" s="22" t="s">
        <v>493</v>
      </c>
      <c r="I104" s="22" t="s">
        <v>494</v>
      </c>
      <c r="J104" s="24">
        <v>0.8276</v>
      </c>
      <c r="K104" s="24">
        <v>0.9839</v>
      </c>
      <c r="L104" s="24">
        <v>0.90580000000000005</v>
      </c>
      <c r="M104" s="25">
        <f>AVERAGE(L104:L110)</f>
        <v>0.85904285714285711</v>
      </c>
    </row>
    <row r="105" spans="1:13">
      <c r="A105" s="22" t="s">
        <v>495</v>
      </c>
      <c r="B105" s="22" t="s">
        <v>496</v>
      </c>
      <c r="C105" s="23">
        <v>687</v>
      </c>
      <c r="D105" s="23">
        <v>406</v>
      </c>
      <c r="E105" s="23">
        <v>153</v>
      </c>
      <c r="F105" s="23">
        <v>128</v>
      </c>
      <c r="G105" s="22"/>
      <c r="H105" s="22" t="s">
        <v>495</v>
      </c>
      <c r="I105" s="22" t="s">
        <v>496</v>
      </c>
      <c r="J105" s="24">
        <v>0.89059999999999995</v>
      </c>
      <c r="K105" s="24">
        <v>0.97160000000000002</v>
      </c>
      <c r="L105" s="24">
        <v>0.93110000000000004</v>
      </c>
      <c r="M105" s="25"/>
    </row>
    <row r="106" spans="1:13">
      <c r="A106" s="22" t="s">
        <v>497</v>
      </c>
      <c r="B106" s="22" t="s">
        <v>498</v>
      </c>
      <c r="C106" s="23">
        <v>1413</v>
      </c>
      <c r="D106" s="23">
        <v>658</v>
      </c>
      <c r="E106" s="23">
        <v>379</v>
      </c>
      <c r="F106" s="23">
        <v>376</v>
      </c>
      <c r="G106" s="22"/>
      <c r="H106" s="22" t="s">
        <v>497</v>
      </c>
      <c r="I106" s="22" t="s">
        <v>498</v>
      </c>
      <c r="J106" s="24">
        <v>0.91490000000000005</v>
      </c>
      <c r="K106" s="24">
        <v>0.82689999999999997</v>
      </c>
      <c r="L106" s="24">
        <v>0.87090000000000001</v>
      </c>
      <c r="M106" s="25"/>
    </row>
    <row r="107" spans="1:13">
      <c r="A107" s="22" t="s">
        <v>499</v>
      </c>
      <c r="B107" s="22" t="s">
        <v>500</v>
      </c>
      <c r="C107" s="23">
        <v>359</v>
      </c>
      <c r="D107" s="23">
        <v>118</v>
      </c>
      <c r="E107" s="23">
        <v>142</v>
      </c>
      <c r="F107" s="23">
        <v>99</v>
      </c>
      <c r="G107" s="22"/>
      <c r="H107" s="22" t="s">
        <v>499</v>
      </c>
      <c r="I107" s="22" t="s">
        <v>500</v>
      </c>
      <c r="J107" s="24">
        <v>0.65659999999999996</v>
      </c>
      <c r="K107" s="24">
        <v>0.97729999999999995</v>
      </c>
      <c r="L107" s="24">
        <v>0.81699999999999995</v>
      </c>
      <c r="M107" s="25"/>
    </row>
    <row r="108" spans="1:13">
      <c r="A108" s="22" t="s">
        <v>501</v>
      </c>
      <c r="B108" s="22" t="s">
        <v>502</v>
      </c>
      <c r="C108" s="23">
        <v>1466</v>
      </c>
      <c r="D108" s="23">
        <v>836</v>
      </c>
      <c r="E108" s="23">
        <v>335</v>
      </c>
      <c r="F108" s="23">
        <v>295</v>
      </c>
      <c r="G108" s="22"/>
      <c r="H108" s="22" t="s">
        <v>501</v>
      </c>
      <c r="I108" s="22" t="s">
        <v>502</v>
      </c>
      <c r="J108" s="24">
        <v>0.80679999999999996</v>
      </c>
      <c r="K108" s="24">
        <v>0.91110000000000002</v>
      </c>
      <c r="L108" s="24">
        <v>0.8589</v>
      </c>
      <c r="M108" s="25"/>
    </row>
    <row r="109" spans="1:13">
      <c r="A109" s="22" t="s">
        <v>503</v>
      </c>
      <c r="B109" s="22" t="s">
        <v>504</v>
      </c>
      <c r="C109" s="23">
        <v>818</v>
      </c>
      <c r="D109" s="23">
        <v>351</v>
      </c>
      <c r="E109" s="23">
        <v>161</v>
      </c>
      <c r="F109" s="23">
        <v>306</v>
      </c>
      <c r="G109" s="22"/>
      <c r="H109" s="22" t="s">
        <v>503</v>
      </c>
      <c r="I109" s="22" t="s">
        <v>504</v>
      </c>
      <c r="J109" s="24">
        <v>0.64710000000000001</v>
      </c>
      <c r="K109" s="24">
        <v>0.8629</v>
      </c>
      <c r="L109" s="24">
        <v>0.755</v>
      </c>
      <c r="M109" s="25"/>
    </row>
    <row r="110" spans="1:13">
      <c r="A110" s="22" t="s">
        <v>505</v>
      </c>
      <c r="B110" s="22" t="s">
        <v>506</v>
      </c>
      <c r="C110" s="23">
        <v>4824</v>
      </c>
      <c r="D110" s="23">
        <v>2888</v>
      </c>
      <c r="E110" s="23">
        <v>1087</v>
      </c>
      <c r="F110" s="23">
        <v>849</v>
      </c>
      <c r="G110" s="22"/>
      <c r="H110" s="22" t="s">
        <v>505</v>
      </c>
      <c r="I110" s="22" t="s">
        <v>506</v>
      </c>
      <c r="J110" s="24">
        <v>0.97060000000000002</v>
      </c>
      <c r="K110" s="24">
        <v>0.77869999999999995</v>
      </c>
      <c r="L110" s="24">
        <v>0.87460000000000004</v>
      </c>
      <c r="M110" s="25"/>
    </row>
    <row r="111" spans="1:13">
      <c r="A111" s="22" t="s">
        <v>507</v>
      </c>
      <c r="B111" s="22" t="s">
        <v>508</v>
      </c>
      <c r="C111" s="23">
        <v>8347</v>
      </c>
      <c r="D111" s="23">
        <v>4654</v>
      </c>
      <c r="E111" s="23">
        <v>1801</v>
      </c>
      <c r="F111" s="23">
        <v>1892</v>
      </c>
      <c r="G111" s="22"/>
      <c r="H111" s="22" t="s">
        <v>507</v>
      </c>
      <c r="I111" s="22" t="s">
        <v>508</v>
      </c>
      <c r="J111" s="24">
        <v>0.99099999999999999</v>
      </c>
      <c r="K111" s="24">
        <v>0.48280000000000001</v>
      </c>
      <c r="L111" s="24">
        <v>0.7369</v>
      </c>
      <c r="M111" s="25">
        <f>AVERAGE(L111:L117)</f>
        <v>0.88064285714285717</v>
      </c>
    </row>
    <row r="112" spans="1:13">
      <c r="A112" s="22" t="s">
        <v>509</v>
      </c>
      <c r="B112" s="22" t="s">
        <v>510</v>
      </c>
      <c r="C112" s="23">
        <v>1314</v>
      </c>
      <c r="D112" s="23">
        <v>678</v>
      </c>
      <c r="E112" s="23">
        <v>383</v>
      </c>
      <c r="F112" s="23">
        <v>253</v>
      </c>
      <c r="G112" s="22"/>
      <c r="H112" s="22" t="s">
        <v>509</v>
      </c>
      <c r="I112" s="22" t="s">
        <v>510</v>
      </c>
      <c r="J112" s="24">
        <v>0.7984</v>
      </c>
      <c r="K112" s="24">
        <v>0.95230000000000004</v>
      </c>
      <c r="L112" s="24">
        <v>0.87539999999999996</v>
      </c>
      <c r="M112" s="25"/>
    </row>
    <row r="113" spans="1:13">
      <c r="A113" s="22" t="s">
        <v>511</v>
      </c>
      <c r="B113" s="22" t="s">
        <v>512</v>
      </c>
      <c r="C113" s="23">
        <v>638</v>
      </c>
      <c r="D113" s="23">
        <v>346</v>
      </c>
      <c r="E113" s="23">
        <v>244</v>
      </c>
      <c r="F113" s="23">
        <v>48</v>
      </c>
      <c r="G113" s="22"/>
      <c r="H113" s="22" t="s">
        <v>511</v>
      </c>
      <c r="I113" s="22" t="s">
        <v>512</v>
      </c>
      <c r="J113" s="24">
        <v>0.75</v>
      </c>
      <c r="K113" s="24">
        <v>0.97560000000000002</v>
      </c>
      <c r="L113" s="24">
        <v>0.86280000000000001</v>
      </c>
      <c r="M113" s="25"/>
    </row>
    <row r="114" spans="1:13">
      <c r="A114" s="22" t="s">
        <v>513</v>
      </c>
      <c r="B114" s="22" t="s">
        <v>514</v>
      </c>
      <c r="C114" s="23">
        <v>244</v>
      </c>
      <c r="D114" s="23">
        <v>139</v>
      </c>
      <c r="E114" s="23">
        <v>67</v>
      </c>
      <c r="F114" s="23">
        <v>38</v>
      </c>
      <c r="G114" s="22"/>
      <c r="H114" s="22" t="s">
        <v>513</v>
      </c>
      <c r="I114" s="22" t="s">
        <v>514</v>
      </c>
      <c r="J114" s="24">
        <v>0.76319999999999999</v>
      </c>
      <c r="K114" s="24">
        <v>0.98319999999999996</v>
      </c>
      <c r="L114" s="24">
        <v>0.87319999999999998</v>
      </c>
      <c r="M114" s="25"/>
    </row>
    <row r="115" spans="1:13">
      <c r="A115" s="22" t="s">
        <v>515</v>
      </c>
      <c r="B115" s="22" t="s">
        <v>516</v>
      </c>
      <c r="C115" s="23">
        <v>171</v>
      </c>
      <c r="D115" s="23">
        <v>103</v>
      </c>
      <c r="E115" s="23">
        <v>59</v>
      </c>
      <c r="F115" s="23">
        <v>9</v>
      </c>
      <c r="G115" s="22"/>
      <c r="H115" s="22" t="s">
        <v>515</v>
      </c>
      <c r="I115" s="22" t="s">
        <v>516</v>
      </c>
      <c r="J115" s="24">
        <v>1</v>
      </c>
      <c r="K115" s="24">
        <v>0.99819999999999998</v>
      </c>
      <c r="L115" s="24">
        <v>0.99909999999999999</v>
      </c>
      <c r="M115" s="25"/>
    </row>
    <row r="116" spans="1:13">
      <c r="A116" s="22" t="s">
        <v>517</v>
      </c>
      <c r="B116" s="22" t="s">
        <v>518</v>
      </c>
      <c r="C116" s="23">
        <v>294</v>
      </c>
      <c r="D116" s="23">
        <v>120</v>
      </c>
      <c r="E116" s="23">
        <v>130</v>
      </c>
      <c r="F116" s="23">
        <v>44</v>
      </c>
      <c r="G116" s="22"/>
      <c r="H116" s="22" t="s">
        <v>517</v>
      </c>
      <c r="I116" s="22" t="s">
        <v>518</v>
      </c>
      <c r="J116" s="24">
        <v>0.88639999999999997</v>
      </c>
      <c r="K116" s="24">
        <v>0.99170000000000003</v>
      </c>
      <c r="L116" s="24">
        <v>0.93899999999999995</v>
      </c>
      <c r="M116" s="25"/>
    </row>
    <row r="117" spans="1:13">
      <c r="A117" s="22" t="s">
        <v>519</v>
      </c>
      <c r="B117" s="22" t="s">
        <v>520</v>
      </c>
      <c r="C117" s="23">
        <v>1816</v>
      </c>
      <c r="D117" s="23">
        <v>943</v>
      </c>
      <c r="E117" s="23">
        <v>584</v>
      </c>
      <c r="F117" s="23">
        <v>289</v>
      </c>
      <c r="G117" s="22"/>
      <c r="H117" s="22" t="s">
        <v>519</v>
      </c>
      <c r="I117" s="22" t="s">
        <v>520</v>
      </c>
      <c r="J117" s="24">
        <v>0.85809999999999997</v>
      </c>
      <c r="K117" s="24">
        <v>0.89800000000000002</v>
      </c>
      <c r="L117" s="24">
        <v>0.87809999999999999</v>
      </c>
      <c r="M117" s="25"/>
    </row>
    <row r="118" spans="1:13">
      <c r="A118" s="22" t="s">
        <v>521</v>
      </c>
      <c r="B118" s="22" t="s">
        <v>522</v>
      </c>
      <c r="C118" s="23">
        <v>9458</v>
      </c>
      <c r="D118" s="23">
        <v>5146</v>
      </c>
      <c r="E118" s="23">
        <v>2228</v>
      </c>
      <c r="F118" s="23">
        <v>2084</v>
      </c>
      <c r="G118" s="22"/>
      <c r="H118" s="22" t="s">
        <v>521</v>
      </c>
      <c r="I118" s="22" t="s">
        <v>522</v>
      </c>
      <c r="J118" s="24">
        <v>0.97019999999999995</v>
      </c>
      <c r="K118" s="24">
        <v>0.36020000000000002</v>
      </c>
      <c r="L118" s="24">
        <v>0.66520000000000001</v>
      </c>
      <c r="M118" s="25">
        <f>AVERAGE(L118:L121)</f>
        <v>0.69584999999999997</v>
      </c>
    </row>
    <row r="119" spans="1:13">
      <c r="A119" s="22" t="s">
        <v>523</v>
      </c>
      <c r="B119" s="22" t="s">
        <v>524</v>
      </c>
      <c r="C119" s="23">
        <v>1336</v>
      </c>
      <c r="D119" s="23">
        <v>1127</v>
      </c>
      <c r="E119" s="23">
        <v>105</v>
      </c>
      <c r="F119" s="23">
        <v>104</v>
      </c>
      <c r="G119" s="22"/>
      <c r="H119" s="22" t="s">
        <v>523</v>
      </c>
      <c r="I119" s="22" t="s">
        <v>524</v>
      </c>
      <c r="J119" s="24">
        <v>0.74039999999999995</v>
      </c>
      <c r="K119" s="24">
        <v>0.92390000000000005</v>
      </c>
      <c r="L119" s="24">
        <v>0.83209999999999995</v>
      </c>
      <c r="M119" s="25"/>
    </row>
    <row r="120" spans="1:13">
      <c r="A120" s="22" t="s">
        <v>525</v>
      </c>
      <c r="B120" s="22" t="s">
        <v>526</v>
      </c>
      <c r="C120" s="23">
        <v>69</v>
      </c>
      <c r="D120" s="23">
        <v>49</v>
      </c>
      <c r="E120" s="23">
        <v>11</v>
      </c>
      <c r="F120" s="23">
        <v>9</v>
      </c>
      <c r="G120" s="22"/>
      <c r="H120" s="22" t="s">
        <v>525</v>
      </c>
      <c r="I120" s="22" t="s">
        <v>526</v>
      </c>
      <c r="J120" s="24">
        <v>0.1111</v>
      </c>
      <c r="K120" s="24">
        <v>0.99260000000000004</v>
      </c>
      <c r="L120" s="24">
        <v>0.55189999999999995</v>
      </c>
      <c r="M120" s="25"/>
    </row>
    <row r="121" spans="1:13">
      <c r="A121" s="22" t="s">
        <v>527</v>
      </c>
      <c r="B121" s="22" t="s">
        <v>528</v>
      </c>
      <c r="C121" s="23">
        <v>356</v>
      </c>
      <c r="D121" s="23">
        <v>210</v>
      </c>
      <c r="E121" s="23">
        <v>91</v>
      </c>
      <c r="F121" s="23">
        <v>55</v>
      </c>
      <c r="G121" s="22"/>
      <c r="H121" s="22" t="s">
        <v>527</v>
      </c>
      <c r="I121" s="22" t="s">
        <v>528</v>
      </c>
      <c r="J121" s="24">
        <v>0.5091</v>
      </c>
      <c r="K121" s="24">
        <v>0.95940000000000003</v>
      </c>
      <c r="L121" s="24">
        <v>0.73419999999999996</v>
      </c>
      <c r="M121" s="25"/>
    </row>
    <row r="122" spans="1:13">
      <c r="A122" s="16"/>
      <c r="B122" s="16"/>
      <c r="C122" s="28"/>
      <c r="D122" s="27">
        <v>17636</v>
      </c>
      <c r="E122" s="27">
        <v>3656</v>
      </c>
      <c r="F122" s="27">
        <v>3486</v>
      </c>
      <c r="G122" s="16"/>
      <c r="H122" s="16" t="s">
        <v>529</v>
      </c>
      <c r="I122" s="16"/>
      <c r="J122" s="29">
        <v>0.80669999999999997</v>
      </c>
      <c r="K122" s="29">
        <v>0.91569999999999996</v>
      </c>
      <c r="L122" s="29">
        <v>0.86119999999999997</v>
      </c>
      <c r="M122" s="17"/>
    </row>
    <row r="123" spans="1:13">
      <c r="A123" s="30"/>
      <c r="B123" s="30"/>
      <c r="C123" s="31"/>
      <c r="D123" s="31"/>
      <c r="E123" s="31"/>
      <c r="F123" s="31"/>
      <c r="G123" s="30"/>
      <c r="H123" s="30" t="s">
        <v>530</v>
      </c>
      <c r="I123" s="30">
        <v>3486</v>
      </c>
      <c r="L123" s="33"/>
      <c r="M123"/>
    </row>
    <row r="124" spans="1:13">
      <c r="A124" s="30"/>
      <c r="B124" s="30"/>
      <c r="C124" s="31"/>
      <c r="D124" s="31"/>
      <c r="E124" s="31"/>
      <c r="F124" s="31"/>
      <c r="G124" s="30"/>
      <c r="H124" s="30" t="s">
        <v>529</v>
      </c>
      <c r="I124" s="30"/>
      <c r="J124" s="33"/>
      <c r="K124" s="33"/>
      <c r="L124" s="33"/>
      <c r="M124"/>
    </row>
    <row r="125" spans="1:13">
      <c r="M125"/>
    </row>
    <row r="126" spans="1:13">
      <c r="M126"/>
    </row>
    <row r="127" spans="1:13">
      <c r="M127"/>
    </row>
    <row r="128" spans="1:13">
      <c r="M128"/>
    </row>
    <row r="129" spans="13:13">
      <c r="M129"/>
    </row>
    <row r="130" spans="13:13">
      <c r="M130"/>
    </row>
    <row r="131" spans="13:13">
      <c r="M131"/>
    </row>
    <row r="132" spans="13:13">
      <c r="M132"/>
    </row>
    <row r="133" spans="13:13">
      <c r="M133"/>
    </row>
    <row r="134" spans="13:13">
      <c r="M134"/>
    </row>
    <row r="135" spans="13:13">
      <c r="M135"/>
    </row>
    <row r="136" spans="13:13">
      <c r="M136"/>
    </row>
    <row r="137" spans="13:13">
      <c r="M137"/>
    </row>
    <row r="138" spans="13:13">
      <c r="M138"/>
    </row>
    <row r="139" spans="13:13">
      <c r="M139"/>
    </row>
    <row r="140" spans="13:13">
      <c r="M140"/>
    </row>
    <row r="141" spans="13:13">
      <c r="M141"/>
    </row>
    <row r="142" spans="13:13">
      <c r="M142"/>
    </row>
    <row r="143" spans="13:13">
      <c r="M143"/>
    </row>
  </sheetData>
  <mergeCells count="23">
    <mergeCell ref="M95:M100"/>
    <mergeCell ref="M101:M103"/>
    <mergeCell ref="M104:M110"/>
    <mergeCell ref="M111:M117"/>
    <mergeCell ref="M118:M121"/>
    <mergeCell ref="M60:M62"/>
    <mergeCell ref="M63:M72"/>
    <mergeCell ref="M73:M75"/>
    <mergeCell ref="M76:M80"/>
    <mergeCell ref="M81:M83"/>
    <mergeCell ref="M84:M94"/>
    <mergeCell ref="M28:M35"/>
    <mergeCell ref="M36:M40"/>
    <mergeCell ref="M41:M42"/>
    <mergeCell ref="M43:M47"/>
    <mergeCell ref="M48:M56"/>
    <mergeCell ref="M57:M59"/>
    <mergeCell ref="M2:M7"/>
    <mergeCell ref="M8:M10"/>
    <mergeCell ref="M11:M14"/>
    <mergeCell ref="M15:M17"/>
    <mergeCell ref="M18:M23"/>
    <mergeCell ref="M25:M27"/>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Ontology</vt:lpstr>
      <vt:lpstr>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2026-07-06T04:37:25Z</dcterms:created>
  <dcterms:modified xsi:type="dcterms:W3CDTF">2026-07-15T01:04:49Z</dcterms:modified>
</cp:coreProperties>
</file>